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atifas\Documents\GitHub\CC\"/>
    </mc:Choice>
  </mc:AlternateContent>
  <bookViews>
    <workbookView xWindow="0" yWindow="0" windowWidth="20490" windowHeight="7680"/>
  </bookViews>
  <sheets>
    <sheet name="Sheet1" sheetId="15" r:id="rId1"/>
    <sheet name="Ticker" sheetId="3" r:id="rId2"/>
    <sheet name="IE+Quest" sheetId="9" r:id="rId3"/>
    <sheet name="Deposited" sheetId="4" r:id="rId4"/>
    <sheet name="Portfolio" sheetId="1" r:id="rId5"/>
    <sheet name="Strat" sheetId="14" state="hidden" r:id="rId6"/>
    <sheet name="Flippers" sheetId="11" r:id="rId7"/>
    <sheet name="Summary" sheetId="5" r:id="rId8"/>
  </sheets>
  <definedNames>
    <definedName name="ExternalData_1" localSheetId="1" hidden="1">Ticker!$A$1:$N$1147</definedName>
  </definedNames>
  <calcPr calcId="171027"/>
  <pivotCaches>
    <pivotCache cacheId="10" r:id="rId9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9" l="1"/>
  <c r="D13" i="9"/>
  <c r="B16" i="9"/>
  <c r="B15" i="9"/>
  <c r="F33" i="1" l="1"/>
  <c r="F20" i="1"/>
  <c r="E23" i="1" l="1"/>
  <c r="H27" i="1"/>
  <c r="I27" i="1" s="1"/>
  <c r="H28" i="1"/>
  <c r="I28" i="1" s="1"/>
  <c r="G25" i="1"/>
  <c r="H25" i="1"/>
  <c r="I25" i="1" s="1"/>
  <c r="H26" i="1"/>
  <c r="I26" i="1" s="1"/>
  <c r="H24" i="1"/>
  <c r="I24" i="1" s="1"/>
  <c r="H23" i="1"/>
  <c r="I23" i="1" s="1"/>
  <c r="E24" i="1"/>
  <c r="G24" i="1"/>
  <c r="E25" i="1"/>
  <c r="E26" i="1"/>
  <c r="G26" i="1"/>
  <c r="E27" i="1"/>
  <c r="G27" i="1"/>
  <c r="E28" i="1"/>
  <c r="G28" i="1"/>
  <c r="I15" i="5"/>
  <c r="I13" i="5"/>
  <c r="I11" i="5"/>
  <c r="H20" i="1"/>
  <c r="I20" i="1" s="1"/>
  <c r="E20" i="1"/>
  <c r="K29" i="1"/>
  <c r="J25" i="1" l="1"/>
  <c r="J27" i="1"/>
  <c r="J26" i="1"/>
  <c r="K26" i="1"/>
  <c r="J28" i="1"/>
  <c r="K28" i="1"/>
  <c r="K24" i="1"/>
  <c r="J24" i="1"/>
  <c r="K25" i="1"/>
  <c r="K27" i="1"/>
  <c r="J23" i="1"/>
  <c r="K23" i="1"/>
  <c r="K20" i="1"/>
  <c r="J20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H29" i="1"/>
  <c r="K8" i="1" l="1"/>
  <c r="J8" i="1"/>
  <c r="K5" i="11"/>
  <c r="L5" i="11" s="1"/>
  <c r="K6" i="11" l="1"/>
  <c r="L6" i="11" s="1"/>
  <c r="E18" i="1"/>
  <c r="G18" i="1"/>
  <c r="H12" i="1"/>
  <c r="I12" i="1" s="1"/>
  <c r="E4" i="1"/>
  <c r="G4" i="1"/>
  <c r="K7" i="11" l="1"/>
  <c r="L7" i="11" s="1"/>
  <c r="E3" i="1"/>
  <c r="E19" i="1"/>
  <c r="E17" i="1"/>
  <c r="E16" i="1"/>
  <c r="E13" i="1"/>
  <c r="E12" i="1"/>
  <c r="J12" i="1" s="1"/>
  <c r="E11" i="1"/>
  <c r="E6" i="1"/>
  <c r="E10" i="1"/>
  <c r="K10" i="1" s="1"/>
  <c r="E5" i="1"/>
  <c r="E9" i="1"/>
  <c r="E22" i="1"/>
  <c r="K22" i="1" s="1"/>
  <c r="E15" i="1"/>
  <c r="K12" i="1" l="1"/>
  <c r="J29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J13" i="5"/>
  <c r="J15" i="5"/>
  <c r="J11" i="5"/>
  <c r="B6" i="9"/>
  <c r="C6" i="9"/>
  <c r="D6" i="9" s="1"/>
  <c r="D2" i="9"/>
  <c r="D3" i="9"/>
  <c r="E30" i="1" l="1"/>
  <c r="K14" i="11"/>
  <c r="L14" i="11" s="1"/>
  <c r="G16" i="1"/>
  <c r="G3" i="1"/>
  <c r="G29" i="1"/>
  <c r="G19" i="1"/>
  <c r="G17" i="1"/>
  <c r="G13" i="1"/>
  <c r="G12" i="1"/>
  <c r="G11" i="1"/>
  <c r="G10" i="1"/>
  <c r="G5" i="1"/>
  <c r="G9" i="1"/>
  <c r="G14" i="1"/>
  <c r="G15" i="1"/>
  <c r="C24" i="1" l="1"/>
  <c r="C23" i="1"/>
  <c r="C26" i="1"/>
  <c r="C25" i="1"/>
  <c r="C28" i="1"/>
  <c r="C27" i="1"/>
  <c r="C3" i="5"/>
  <c r="B3" i="5" s="1"/>
  <c r="C20" i="1"/>
  <c r="C22" i="1"/>
  <c r="C5" i="1"/>
  <c r="C12" i="1"/>
  <c r="C11" i="1"/>
  <c r="C14" i="1"/>
  <c r="C10" i="1"/>
  <c r="C4" i="1"/>
  <c r="C16" i="1"/>
  <c r="C13" i="1"/>
  <c r="C7" i="1"/>
  <c r="C29" i="1"/>
  <c r="C6" i="1"/>
  <c r="C19" i="1"/>
  <c r="C3" i="1"/>
  <c r="C15" i="1"/>
  <c r="C9" i="1"/>
  <c r="C21" i="1"/>
  <c r="C17" i="1"/>
  <c r="C8" i="1"/>
  <c r="C18" i="1"/>
  <c r="K15" i="11"/>
  <c r="L15" i="11" s="1"/>
  <c r="E30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0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0" i="1" l="1"/>
  <c r="C7" i="5"/>
  <c r="J30" i="1"/>
  <c r="K17" i="11"/>
  <c r="L17" i="11" s="1"/>
  <c r="H33" i="1"/>
  <c r="I17" i="5"/>
  <c r="K18" i="11" l="1"/>
  <c r="L18" i="11" s="1"/>
  <c r="B7" i="5"/>
  <c r="G22" i="1"/>
  <c r="G30" i="1" l="1"/>
  <c r="G31" i="1" s="1"/>
  <c r="K19" i="11"/>
  <c r="L19" i="11" s="1"/>
  <c r="K20" i="11" l="1"/>
  <c r="L20" i="11" s="1"/>
  <c r="C30" i="1"/>
  <c r="C30" i="4"/>
  <c r="D30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D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<sst xmlns="http://schemas.openxmlformats.org/spreadsheetml/2006/main" count="15072" uniqueCount="11177">
  <si>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</si>
  <si>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</si>
  <si>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</si>
  <si>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</si>
  <si>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</si>
  <si>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</si>
  <si>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</si>
  <si>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</si>
  <si>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</si>
  <si>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</si>
  <si>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</si>
  <si>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</si>
  <si>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</si>
  <si>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</si>
  <si>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</si>
  <si>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</si>
  <si>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</si>
  <si>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</si>
  <si>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</si>
  <si>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</si>
  <si>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</si>
  <si>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</si>
  <si>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</si>
  <si>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</si>
  <si>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</si>
  <si>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</si>
  <si>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</si>
  <si>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</si>
  <si>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</si>
  <si>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</si>
  <si>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</si>
  <si>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</si>
  <si>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</si>
  <si>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</si>
  <si>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</si>
  <si>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</si>
  <si>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</si>
  <si>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</si>
  <si>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</si>
  <si>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</si>
  <si>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</si>
  <si>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</si>
  <si>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</si>
  <si>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</si>
  <si>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</si>
  <si>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</si>
  <si>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</si>
  <si>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</si>
  <si>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</si>
  <si>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</si>
  <si>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</si>
  <si>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</si>
  <si>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</si>
  <si>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</si>
  <si>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</si>
  <si>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</si>
  <si>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</si>
  <si>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</si>
  <si>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</si>
  <si>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</si>
  <si>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</si>
  <si>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</si>
  <si>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</si>
  <si>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</si>
  <si>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</si>
  <si>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</si>
  <si>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</si>
  <si>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</si>
  <si>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</si>
  <si>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</si>
  <si>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</si>
  <si>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</si>
  <si>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</si>
  <si>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</si>
  <si>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</si>
  <si>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</si>
  <si>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</si>
  <si>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</si>
  <si>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</si>
  <si>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</si>
  <si>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</si>
  <si>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</si>
  <si>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</si>
  <si>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</si>
  <si>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</si>
  <si>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</si>
  <si>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</si>
  <si>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</si>
  <si>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</si>
  <si>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</si>
  <si>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</si>
  <si>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</si>
  <si>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</si>
  <si>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</si>
  <si>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</si>
  <si>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</si>
  <si>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</si>
  <si>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</si>
  <si>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</si>
  <si>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</si>
  <si>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</si>
  <si>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</si>
  <si>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</si>
  <si>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</si>
  <si>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</si>
  <si>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</si>
  <si>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</si>
  <si>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</si>
  <si>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</si>
  <si>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</si>
  <si>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</si>
  <si>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</si>
  <si>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</si>
  <si>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</si>
  <si>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</si>
  <si>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</si>
  <si>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</si>
  <si>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</si>
  <si>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</si>
  <si>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</si>
  <si>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</si>
  <si>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</si>
  <si>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</si>
  <si>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</si>
  <si>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</si>
  <si>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</si>
  <si>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</si>
  <si>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</si>
  <si>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</si>
  <si>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</si>
  <si>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</si>
  <si>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</si>
  <si>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</si>
  <si>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</si>
  <si>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</si>
  <si>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</si>
  <si>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</si>
  <si>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</si>
  <si>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</si>
  <si>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</si>
  <si>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</si>
  <si>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</si>
  <si>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</si>
  <si>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</si>
  <si>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</si>
  <si>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</si>
  <si>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</si>
  <si>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</si>
  <si>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</si>
  <si>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</si>
  <si>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</si>
  <si>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</si>
  <si>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</si>
  <si>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</si>
  <si>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</si>
  <si>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</si>
  <si>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</si>
  <si>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</si>
  <si>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</si>
  <si>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</si>
  <si>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</si>
  <si>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</si>
  <si>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</si>
  <si>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</si>
  <si>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</si>
  <si>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</si>
  <si>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</si>
  <si>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</si>
  <si>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</si>
  <si>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</si>
  <si>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</si>
  <si>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</si>
  <si>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</si>
  <si>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</si>
  <si>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</si>
  <si>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</si>
  <si>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</si>
  <si>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</si>
  <si>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</si>
  <si>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</si>
  <si>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</si>
  <si>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</si>
  <si>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</si>
  <si>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</si>
  <si>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</si>
  <si>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</si>
  <si>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</si>
  <si>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</si>
  <si>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</si>
  <si>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</si>
  <si>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</si>
  <si>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</si>
  <si>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</si>
  <si>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</si>
  <si>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</si>
  <si>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</si>
  <si>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</si>
  <si>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</si>
  <si>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</si>
  <si>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</si>
  <si>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</si>
  <si>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</si>
  <si>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</si>
  <si>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</si>
  <si>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</si>
  <si>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</si>
  <si>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</si>
  <si>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</si>
  <si>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</si>
  <si>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</si>
  <si>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</si>
  <si>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</si>
  <si>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</si>
  <si>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</si>
  <si>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</si>
  <si>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</si>
  <si>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</si>
  <si>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</si>
  <si>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</si>
  <si>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</si>
  <si>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</si>
  <si>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</si>
  <si>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</si>
  <si>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</si>
  <si>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</si>
  <si>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</si>
  <si>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</si>
  <si>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</si>
  <si>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</si>
  <si>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</si>
  <si>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</si>
  <si>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</si>
  <si>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</si>
  <si>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</si>
  <si>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</si>
  <si>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</si>
  <si>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</si>
  <si>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</si>
  <si>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</si>
  <si>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</si>
  <si>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</si>
  <si>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</si>
  <si>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</si>
  <si>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</si>
  <si>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</si>
  <si>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</si>
  <si>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</si>
  <si>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</si>
  <si>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</si>
  <si>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</si>
  <si>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</si>
  <si>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</si>
  <si>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</si>
  <si>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</si>
  <si>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</si>
  <si>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</si>
  <si>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</si>
  <si>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</si>
  <si>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</si>
  <si>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</si>
  <si>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</si>
  <si>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</si>
  <si>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</si>
  <si>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</si>
  <si>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13409472280.0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</si>
  <si>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</si>
  <si>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</si>
  <si>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</si>
  <si>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</si>
  <si>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</si>
  <si>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</si>
  <si>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</si>
  <si>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</si>
  <si>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</si>
  <si>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</si>
  <si>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</si>
  <si>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</si>
  <si>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</si>
  <si>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</si>
  <si>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</si>
  <si>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</si>
  <si>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</si>
  <si>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</si>
  <si>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</si>
  <si>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</si>
  <si>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</si>
  <si>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</si>
  <si>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</si>
  <si>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</si>
  <si>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</si>
  <si>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</si>
  <si>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</si>
  <si>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</si>
  <si>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</si>
  <si>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</si>
  <si>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</si>
  <si>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</si>
  <si>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</si>
  <si>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</si>
  <si>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</si>
  <si>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</si>
  <si>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</si>
  <si>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</si>
  <si>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</si>
  <si>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</si>
  <si>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</si>
  <si>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</si>
  <si>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</si>
  <si>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</si>
  <si>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</si>
  <si>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</si>
  <si>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</si>
  <si>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</si>
  <si>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</si>
  <si>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</si>
  <si>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</si>
  <si>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</si>
  <si>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</si>
  <si>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</si>
  <si>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</si>
  <si>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</si>
  <si>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</si>
  <si>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</si>
  <si>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</si>
  <si>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</si>
  <si>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</si>
  <si>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</si>
  <si>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</si>
  <si>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</si>
  <si>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</si>
  <si>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</si>
  <si>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</si>
  <si>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</si>
  <si>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</si>
  <si>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</si>
  <si>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</si>
  <si>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</si>
  <si>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</si>
  <si>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</si>
  <si>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</si>
  <si>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</si>
  <si>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</si>
  <si>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</si>
  <si>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</si>
  <si>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</si>
  <si>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</si>
  <si>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</si>
  <si>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</si>
  <si>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</si>
  <si>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</si>
  <si>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</si>
  <si>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</si>
  <si>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</si>
  <si>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</si>
  <si>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</si>
  <si>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</si>
  <si>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</si>
  <si>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</si>
  <si>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</si>
  <si>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</si>
  <si>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</si>
  <si>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</si>
  <si>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</si>
  <si>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</si>
  <si>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</si>
  <si>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</si>
  <si>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</si>
  <si>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</si>
  <si>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</si>
  <si>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</si>
  <si>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</si>
  <si>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</si>
  <si>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</si>
  <si>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</si>
  <si>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</si>
  <si>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</si>
  <si>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</si>
  <si>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</si>
  <si>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</si>
  <si>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</si>
  <si>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</si>
  <si>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</si>
  <si>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</si>
  <si>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</si>
  <si>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</si>
  <si>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</si>
  <si>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</si>
  <si>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</si>
  <si>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</si>
  <si>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</si>
  <si>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</si>
  <si>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</si>
  <si>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</si>
  <si>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</si>
  <si>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</si>
  <si>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</si>
  <si>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</si>
  <si>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</si>
  <si>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</si>
  <si>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</si>
  <si>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</si>
  <si>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</si>
  <si>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</si>
  <si>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</si>
  <si>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</si>
  <si>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</si>
  <si>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</si>
  <si>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</si>
  <si>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</si>
  <si>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</si>
  <si>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</si>
  <si>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</si>
  <si>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</si>
  <si>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</si>
  <si>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</si>
  <si>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</si>
  <si>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</si>
  <si>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</si>
  <si>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</si>
  <si>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</si>
  <si>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</si>
  <si>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</si>
  <si>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</si>
  <si>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</si>
  <si>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</si>
  <si>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</si>
  <si>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</si>
  <si>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</si>
  <si>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</si>
  <si>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</si>
  <si>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</si>
  <si>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</si>
  <si>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</si>
  <si>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</si>
  <si>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</si>
  <si>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</si>
  <si>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</si>
  <si>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</si>
  <si>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</si>
  <si>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</si>
  <si>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</si>
  <si>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</si>
  <si>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</si>
  <si>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</si>
  <si>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</si>
  <si>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</si>
  <si>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</si>
  <si>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</si>
  <si>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</si>
  <si>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</si>
  <si>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</si>
  <si>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</si>
  <si>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</si>
  <si>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</si>
  <si>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</si>
  <si>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</si>
  <si>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</si>
  <si>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</si>
  <si>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</si>
  <si>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</si>
  <si>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</si>
  <si>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</si>
  <si>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</si>
  <si>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</si>
  <si>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</si>
  <si>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</si>
  <si>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</si>
  <si>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</si>
  <si>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</si>
  <si>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</si>
  <si>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</si>
  <si>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</si>
  <si>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</si>
  <si>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</si>
  <si>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</si>
  <si>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</si>
  <si>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</si>
  <si>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</si>
  <si>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</si>
  <si>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</si>
  <si>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</si>
  <si>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</si>
  <si>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</si>
  <si>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</si>
  <si>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</si>
  <si>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</si>
  <si>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</si>
  <si>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</si>
  <si>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</si>
  <si>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</si>
  <si>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</si>
  <si>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</si>
  <si>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</si>
  <si>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</si>
  <si>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</si>
  <si>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</si>
  <si>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</si>
  <si>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</si>
  <si>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</si>
  <si>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</si>
  <si>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</si>
  <si>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</si>
  <si>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</si>
  <si>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</si>
  <si>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</si>
  <si>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</si>
  <si>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</si>
  <si>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</si>
  <si>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</si>
  <si>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</si>
  <si>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</si>
  <si>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</si>
  <si>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</si>
  <si>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</si>
  <si>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</si>
  <si>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</si>
  <si>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</si>
  <si>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</si>
  <si>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</si>
  <si>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</si>
  <si>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</si>
  <si>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</si>
  <si>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</si>
  <si>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</si>
  <si>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</si>
  <si>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</si>
  <si>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</si>
  <si>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</si>
  <si>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</si>
  <si>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</si>
  <si>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</si>
  <si>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</si>
  <si>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</si>
  <si>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</si>
  <si>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</si>
  <si>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</si>
  <si>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</si>
  <si>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</si>
  <si>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</si>
  <si>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</si>
  <si>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</si>
  <si>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</si>
  <si>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</si>
  <si>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</si>
  <si>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</si>
  <si>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</si>
  <si>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</si>
  <si>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</si>
  <si>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</si>
  <si>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</si>
  <si>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</si>
  <si>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</si>
  <si>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</si>
  <si>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</si>
  <si>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</si>
  <si>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</si>
  <si>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</si>
  <si>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</si>
  <si>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</si>
  <si>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</si>
  <si>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</si>
  <si>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</si>
  <si>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</si>
  <si>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</si>
  <si>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</si>
  <si>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</si>
  <si>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</si>
  <si>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</si>
  <si>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</si>
  <si>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</si>
  <si>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</si>
  <si>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</si>
  <si>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</si>
  <si>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</si>
  <si>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</si>
  <si>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</si>
  <si>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</si>
  <si>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</si>
  <si>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</si>
  <si>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</si>
  <si>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</si>
  <si>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</si>
  <si>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</si>
  <si>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</si>
  <si>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</si>
  <si>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</si>
  <si>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</si>
  <si>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</si>
  <si>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</si>
  <si>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</si>
  <si>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</si>
  <si>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</si>
  <si>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</si>
  <si>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</si>
  <si>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</si>
  <si>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</si>
  <si>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</si>
  <si>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</si>
  <si>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</si>
  <si>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</si>
  <si>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</si>
  <si>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</si>
  <si>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</si>
  <si>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</si>
  <si>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</si>
  <si>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</si>
  <si>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</si>
  <si>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</si>
  <si>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</si>
  <si>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</si>
  <si>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</si>
  <si>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</si>
  <si>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</si>
  <si>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</si>
  <si>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</si>
  <si>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</si>
  <si>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</si>
  <si>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</si>
  <si>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</si>
  <si>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</si>
  <si>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</si>
  <si>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</si>
  <si>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</si>
  <si>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</si>
  <si>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</si>
  <si>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</si>
  <si>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</si>
  <si>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</si>
  <si>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</si>
  <si>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</si>
  <si>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</si>
  <si>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</si>
  <si>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</si>
  <si>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</si>
  <si>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</si>
  <si>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</si>
  <si>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</si>
  <si>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</si>
  <si>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</si>
  <si>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</si>
  <si>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</si>
  <si>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</si>
  <si>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</si>
  <si>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</si>
  <si>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</si>
  <si>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</si>
  <si>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</si>
  <si>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</si>
  <si>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</si>
  <si>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</si>
  <si>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</si>
  <si>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</si>
  <si>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</si>
  <si>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</si>
  <si>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</si>
  <si>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</si>
  <si>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</si>
  <si>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</si>
  <si>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</si>
  <si>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</si>
  <si>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</si>
  <si>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</si>
  <si>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</si>
  <si>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</si>
  <si>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</si>
  <si>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</si>
  <si>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</si>
  <si>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</si>
  <si>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</si>
  <si>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</si>
  <si>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</si>
  <si>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</si>
  <si>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</si>
  <si>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</si>
  <si>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</si>
  <si>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</si>
  <si>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</si>
  <si>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</si>
  <si>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</si>
  <si>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</si>
  <si>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</si>
  <si>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</si>
  <si>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</si>
  <si>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</si>
  <si>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</si>
  <si>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</si>
  <si>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</si>
  <si>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</si>
  <si>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</si>
  <si>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</si>
  <si>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</si>
  <si>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</si>
  <si>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</si>
  <si>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</si>
  <si>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</si>
  <si>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</si>
  <si>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</si>
  <si>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</si>
  <si>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</si>
  <si>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</si>
  <si>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</si>
  <si>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</si>
  <si>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</si>
  <si>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</si>
  <si>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</si>
  <si>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</si>
  <si>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</si>
  <si>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</si>
  <si>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</si>
  <si>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</si>
  <si>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</si>
  <si>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</si>
  <si>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</si>
  <si>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</si>
  <si>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</si>
  <si>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</si>
  <si>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</si>
  <si>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</si>
  <si>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</si>
  <si>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</si>
  <si>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</si>
  <si>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</si>
  <si>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</si>
  <si>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</si>
  <si>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</si>
  <si>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</si>
  <si>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</si>
  <si>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</si>
  <si>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</si>
  <si>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</si>
  <si>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</si>
  <si>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</si>
  <si>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</si>
  <si>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</si>
  <si>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</si>
  <si>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</si>
  <si>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</si>
  <si>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</si>
  <si>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</si>
  <si>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</si>
  <si>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</si>
  <si>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</si>
  <si>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</si>
  <si>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</si>
  <si>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</si>
  <si>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</si>
  <si>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</si>
  <si>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</si>
  <si>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</si>
  <si>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</si>
  <si>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</si>
  <si>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</si>
  <si>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</si>
  <si>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</si>
  <si>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</si>
  <si>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</si>
  <si>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</si>
  <si>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</si>
  <si>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</si>
  <si>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</si>
  <si>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</si>
  <si>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</si>
  <si>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</si>
  <si>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</si>
  <si>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</si>
  <si>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</si>
  <si>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</si>
  <si>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</si>
  <si>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</si>
  <si>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</si>
  <si>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</si>
  <si>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</si>
  <si>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</si>
  <si>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</si>
  <si>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</si>
  <si>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</si>
  <si>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</si>
  <si>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</si>
  <si>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</si>
  <si>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</si>
  <si>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</si>
  <si>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</si>
  <si>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</si>
  <si>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</si>
  <si>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</si>
  <si>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</si>
  <si>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</si>
  <si>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</si>
  <si>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</si>
  <si>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</si>
  <si>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</si>
  <si>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</si>
  <si>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</si>
  <si>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</si>
  <si>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</si>
  <si>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</si>
  <si>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</si>
  <si>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</si>
  <si>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</si>
  <si>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</si>
  <si>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</si>
  <si>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</si>
  <si>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</si>
  <si>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</si>
  <si>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</si>
  <si>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</si>
  <si>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</si>
  <si>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</si>
  <si>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</si>
  <si>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</si>
  <si>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</si>
  <si>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</si>
  <si>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</si>
  <si>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</si>
  <si>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</si>
  <si>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</si>
  <si>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</si>
  <si>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</si>
  <si>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</si>
  <si>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</si>
  <si>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</si>
  <si>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</si>
  <si>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</si>
  <si>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</si>
  <si>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</si>
  <si>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</si>
  <si>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</si>
  <si>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</si>
  <si>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</si>
  <si>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</si>
  <si>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</si>
  <si>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</si>
  <si>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</si>
  <si>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</si>
  <si>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</si>
  <si>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</si>
  <si>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</si>
  <si>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</si>
  <si>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</si>
  <si>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</si>
  <si>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</si>
  <si>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</si>
  <si>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</si>
  <si>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</si>
  <si>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</si>
  <si>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</si>
  <si>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</si>
  <si>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</si>
  <si>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</si>
  <si>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</si>
  <si>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</si>
  <si>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-0.34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</si>
  <si>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</si>
  <si>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</si>
  <si>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</si>
  <si>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</si>
  <si>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</si>
  <si>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</si>
  <si>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</si>
  <si>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</si>
  <si>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</si>
  <si>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</si>
  <si>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</si>
  <si>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</si>
  <si>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</si>
  <si>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</si>
  <si>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</si>
  <si>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</si>
  <si>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</si>
  <si>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</si>
  <si>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</si>
  <si>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</si>
  <si>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</si>
  <si>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</si>
  <si>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</si>
  <si>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</si>
  <si>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</si>
  <si>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</si>
  <si>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</si>
  <si>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</si>
  <si>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</si>
  <si>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</si>
  <si>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</si>
  <si>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</si>
  <si>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</si>
  <si>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</si>
  <si>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</si>
  <si>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</si>
  <si>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</si>
  <si>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</si>
  <si>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</si>
  <si>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</si>
  <si>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</si>
  <si>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</si>
  <si>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</si>
  <si>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</si>
  <si>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</si>
  <si>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</si>
  <si>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</si>
  <si>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</si>
  <si>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</si>
  <si>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</si>
  <si>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</si>
  <si>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</si>
  <si>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</si>
  <si>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</si>
  <si>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</si>
  <si>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</si>
  <si>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</si>
  <si>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</si>
  <si>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</si>
  <si>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</si>
  <si>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</si>
  <si>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</si>
  <si>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</si>
  <si>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</si>
  <si>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</si>
  <si>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</si>
  <si>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</si>
  <si>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</si>
  <si>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</si>
  <si>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</si>
  <si>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</si>
  <si>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</si>
  <si>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</si>
  <si>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</si>
  <si>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</si>
  <si>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</si>
  <si>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</si>
  <si>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</si>
  <si>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</si>
  <si>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</si>
  <si>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</si>
  <si>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</si>
  <si>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</si>
  <si>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</si>
  <si>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</si>
  <si>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</si>
  <si>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</si>
  <si>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</si>
  <si>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</si>
  <si>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</si>
  <si>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</si>
  <si>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</si>
  <si>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</si>
  <si>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</si>
  <si>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</si>
  <si>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</si>
  <si>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</si>
  <si>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</si>
  <si>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</si>
  <si>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</si>
  <si>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</si>
  <si>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</si>
  <si>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</si>
  <si>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</si>
  <si>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</si>
  <si>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</si>
  <si>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23240139.0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</si>
  <si>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</si>
  <si>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</si>
  <si>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</si>
  <si>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</si>
  <si>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</si>
  <si>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</si>
  <si>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</si>
  <si>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</si>
  <si>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</si>
  <si>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</si>
  <si>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</si>
  <si>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</si>
  <si>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</si>
  <si>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</si>
  <si>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</si>
  <si>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</si>
  <si>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</si>
  <si>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</si>
  <si>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</si>
  <si>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</si>
  <si>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</si>
  <si>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</si>
  <si>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</si>
  <si>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</si>
  <si>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</si>
  <si>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</si>
  <si>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</si>
  <si>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</si>
  <si>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</si>
  <si>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</si>
  <si>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</si>
  <si>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</si>
  <si>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</si>
  <si>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</si>
  <si>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</si>
  <si>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</si>
  <si>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</si>
  <si>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</si>
  <si>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</si>
  <si>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</si>
  <si>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</si>
  <si>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</si>
  <si>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</si>
  <si>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</si>
  <si>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</si>
  <si>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</si>
  <si>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</si>
  <si>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</si>
  <si>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</si>
  <si>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</si>
  <si>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</si>
  <si>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</si>
  <si>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</si>
  <si>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</si>
  <si>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</si>
  <si>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</si>
  <si>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</si>
  <si>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</si>
  <si>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</si>
  <si>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</si>
  <si>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</si>
  <si>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</si>
  <si>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</si>
  <si>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</si>
  <si>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</si>
  <si>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</si>
  <si>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</si>
  <si>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</si>
  <si>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</si>
  <si>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</si>
  <si>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</si>
  <si>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</si>
  <si>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</si>
  <si>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</si>
  <si>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</si>
  <si>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</si>
  <si>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</si>
  <si>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</si>
  <si>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</si>
  <si>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</si>
  <si>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</si>
  <si>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</si>
  <si>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</si>
  <si>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</si>
  <si>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</si>
  <si>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</si>
  <si>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</si>
  <si>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</si>
  <si>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</si>
  <si>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</si>
  <si>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</si>
  <si>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</si>
  <si>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</si>
  <si>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</si>
  <si>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</si>
  <si>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</si>
  <si>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</si>
  <si>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</si>
  <si>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</si>
  <si>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</si>
  <si>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</si>
  <si>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</si>
  <si>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</si>
  <si>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</si>
  <si>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</si>
  <si>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</si>
  <si>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</si>
  <si>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</si>
  <si>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</si>
  <si>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</si>
  <si>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</si>
  <si>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</si>
  <si>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</si>
  <si>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</si>
  <si>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</si>
  <si>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</si>
  <si>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</si>
  <si>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</si>
  <si>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</si>
  <si>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</si>
  <si>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</si>
  <si>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</si>
  <si>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</si>
  <si>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</si>
  <si>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</si>
  <si>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</si>
  <si>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</si>
  <si>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</si>
  <si>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</si>
  <si>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</si>
  <si>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</si>
  <si>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</si>
  <si>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</si>
  <si>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</si>
  <si>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</si>
  <si>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</si>
  <si>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</si>
  <si>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</si>
  <si>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</si>
  <si>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</si>
  <si>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</si>
  <si>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</si>
  <si>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</si>
  <si>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</si>
  <si>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</si>
  <si>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</si>
  <si>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</si>
  <si>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</si>
  <si>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</si>
  <si>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</si>
  <si>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</si>
  <si>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</si>
  <si>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</si>
  <si>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</si>
  <si>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</si>
  <si>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</si>
  <si>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</si>
  <si>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</si>
  <si>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</si>
  <si>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</si>
  <si>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</si>
  <si>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</si>
  <si>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</si>
  <si>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</si>
  <si>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</si>
  <si>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</si>
  <si>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</si>
  <si>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</si>
  <si>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</si>
  <si>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</si>
  <si>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</si>
  <si>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</si>
  <si>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</si>
  <si>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</si>
  <si>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</si>
  <si>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</si>
  <si>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</si>
  <si>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</si>
  <si>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</si>
  <si>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</si>
  <si>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</si>
  <si>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</si>
  <si>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</si>
  <si>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</si>
  <si>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</si>
  <si>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</si>
  <si>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</si>
  <si>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</si>
  <si>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</si>
  <si>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</si>
  <si>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</si>
  <si>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</si>
  <si>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</si>
  <si>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</si>
  <si>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</si>
  <si>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</si>
  <si>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</si>
  <si>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</si>
  <si>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</si>
  <si>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</si>
  <si>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</si>
  <si>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</si>
  <si>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</si>
  <si>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</si>
  <si>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</si>
  <si>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</si>
  <si>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</si>
  <si>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</si>
  <si>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</si>
  <si>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</si>
  <si>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</si>
  <si>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</si>
  <si>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</si>
  <si>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</si>
  <si>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</si>
  <si>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</si>
  <si>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</si>
  <si>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</si>
  <si>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</si>
  <si>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</si>
  <si>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</si>
  <si>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</si>
  <si>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</si>
  <si>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</si>
  <si>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</si>
  <si>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</si>
  <si>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</si>
  <si>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</si>
  <si>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</si>
  <si>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</si>
  <si>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</si>
  <si>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</si>
  <si>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</si>
  <si>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</si>
  <si>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</si>
  <si>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</si>
  <si>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</si>
  <si>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</si>
  <si>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</si>
  <si>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</si>
  <si>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</si>
  <si>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</si>
  <si>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</si>
  <si>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</si>
  <si>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</si>
  <si>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</si>
  <si>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</si>
  <si>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</si>
  <si>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</si>
  <si>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</si>
  <si>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</si>
  <si>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</si>
  <si>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</si>
  <si>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</si>
  <si>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</si>
  <si>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</si>
  <si>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</si>
  <si>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</si>
  <si>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</si>
  <si>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</si>
  <si>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</si>
  <si>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</si>
  <si>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</si>
  <si>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</si>
  <si>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</si>
  <si>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</si>
  <si>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</si>
  <si>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</si>
  <si>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</si>
  <si>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</si>
  <si>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</si>
  <si>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</si>
  <si>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</si>
  <si>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</si>
  <si>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</si>
  <si>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</si>
  <si>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</si>
  <si>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</si>
  <si>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</si>
  <si>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</si>
  <si>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</si>
  <si>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</si>
  <si>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</si>
  <si>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</si>
  <si>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</si>
  <si>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</si>
  <si>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</si>
  <si>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</si>
  <si>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</si>
  <si>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</si>
  <si>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</si>
  <si>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</si>
  <si>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</si>
  <si>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</si>
  <si>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</si>
  <si>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</si>
  <si>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</si>
  <si>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</si>
  <si>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</si>
  <si>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</si>
  <si>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</si>
  <si>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</si>
  <si>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</si>
  <si>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</si>
  <si>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</si>
  <si>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</si>
  <si>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</si>
  <si>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</si>
  <si>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</si>
  <si>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</si>
  <si>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</si>
  <si>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</si>
  <si>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</si>
  <si>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</si>
  <si>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</si>
  <si>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</si>
  <si>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</si>
  <si>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</si>
  <si>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</si>
  <si>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</si>
  <si>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</si>
  <si>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</si>
  <si>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</si>
  <si>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</si>
  <si>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</si>
  <si>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</si>
  <si>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</si>
  <si>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</si>
  <si>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</si>
  <si>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</si>
  <si>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</si>
  <si>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</si>
  <si>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</si>
  <si>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</si>
  <si>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</si>
  <si>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</si>
  <si>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</si>
  <si>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</si>
  <si>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</si>
  <si>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</si>
  <si>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</si>
  <si>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</si>
  <si>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</si>
  <si>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</si>
  <si>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</si>
  <si>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</si>
  <si>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</si>
  <si>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</si>
  <si>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</si>
  <si>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</si>
  <si>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</si>
  <si>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</si>
  <si>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</si>
  <si>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</si>
  <si>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</si>
  <si>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</si>
  <si>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</si>
  <si>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</si>
  <si>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</si>
  <si>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</si>
  <si>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</si>
  <si>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</si>
  <si>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</si>
  <si>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</si>
  <si>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</si>
  <si>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</si>
  <si>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</si>
  <si>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</si>
  <si>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</si>
  <si>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</si>
  <si>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</si>
  <si>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</si>
  <si>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</si>
  <si>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</si>
  <si>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</si>
  <si>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</si>
  <si>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</si>
  <si>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</si>
  <si>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</si>
  <si>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465755.0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</si>
  <si>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</si>
  <si>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</si>
  <si>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</si>
  <si>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</si>
  <si>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</si>
  <si>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</si>
  <si>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</si>
  <si>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</si>
  <si>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</si>
  <si>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</si>
  <si>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</si>
  <si>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</si>
  <si>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</si>
  <si>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</si>
  <si>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</si>
  <si>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</si>
  <si>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</si>
  <si>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</si>
  <si>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</si>
  <si>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</si>
  <si>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</si>
  <si>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</si>
  <si>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</si>
  <si>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</si>
  <si>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</si>
  <si>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</si>
  <si>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</si>
  <si>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</si>
  <si>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</si>
  <si>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</si>
  <si>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</si>
  <si>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</si>
  <si>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</si>
  <si>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</si>
  <si>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</si>
  <si>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</si>
  <si>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</si>
  <si>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</si>
  <si>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</si>
  <si>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</si>
  <si>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</si>
  <si>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</si>
  <si>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</si>
  <si>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</si>
  <si>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</si>
  <si>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</si>
  <si>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</si>
  <si>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</si>
  <si>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</si>
  <si>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</si>
  <si>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</si>
  <si>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</si>
  <si>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</si>
  <si>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</si>
  <si>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</si>
  <si>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</si>
  <si>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</si>
  <si>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</si>
  <si>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</si>
  <si>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</si>
  <si>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</si>
  <si>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</si>
  <si>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</si>
  <si>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</si>
  <si>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</si>
  <si>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</si>
  <si>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</si>
  <si>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</si>
  <si>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</si>
  <si>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</si>
  <si>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</si>
  <si>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</si>
  <si>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</si>
  <si>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</si>
  <si>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</si>
  <si>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</si>
  <si>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</si>
  <si>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</si>
  <si>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</si>
  <si>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</si>
  <si>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</si>
  <si>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</si>
  <si>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</si>
  <si>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</si>
  <si>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</si>
  <si>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</si>
  <si>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</si>
  <si>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</si>
  <si>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</si>
  <si>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</si>
  <si>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</si>
  <si>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</si>
  <si>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</si>
  <si>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</si>
  <si>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</si>
  <si>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</si>
  <si>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</si>
  <si>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</si>
  <si>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</si>
  <si>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</si>
  <si>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</si>
  <si>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</si>
  <si>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</si>
  <si>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</si>
  <si>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</si>
  <si>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</si>
  <si>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</si>
  <si>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</si>
  <si>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</si>
  <si>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</si>
  <si>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</si>
  <si>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</si>
  <si>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</si>
  <si>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</si>
  <si>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</si>
  <si>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</si>
  <si>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</si>
  <si>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</si>
  <si>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</si>
  <si>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</si>
  <si>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</si>
  <si>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</si>
  <si>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</si>
  <si>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</si>
  <si>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</si>
  <si>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</si>
  <si>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</si>
  <si>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</si>
  <si>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</si>
  <si>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</si>
  <si>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</si>
  <si>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</si>
  <si>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</si>
  <si>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</si>
  <si>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</si>
  <si>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</si>
  <si>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</si>
  <si>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</si>
  <si>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</si>
  <si>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</si>
  <si>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</si>
  <si>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</si>
  <si>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</si>
  <si>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</si>
  <si>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</si>
  <si>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</si>
  <si>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</si>
  <si>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</si>
  <si>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</si>
  <si>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</si>
  <si>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</si>
  <si>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</si>
  <si>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</si>
  <si>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</si>
  <si>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</si>
  <si>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</si>
  <si>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</si>
  <si>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</si>
  <si>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</si>
  <si>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</si>
  <si>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</si>
  <si>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</si>
  <si>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</si>
  <si>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</si>
  <si>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</si>
  <si>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</si>
  <si>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</si>
  <si>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</si>
  <si>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</si>
  <si>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</si>
  <si>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</si>
  <si>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</si>
  <si>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</si>
  <si>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</si>
  <si>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</si>
  <si>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</si>
  <si>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</si>
  <si>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</si>
  <si>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</si>
  <si>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</si>
  <si>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</si>
  <si>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</si>
  <si>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</si>
  <si>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</si>
  <si>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</si>
  <si>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</si>
  <si>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</si>
  <si>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</si>
  <si>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</si>
  <si>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</si>
  <si>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</si>
  <si>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</si>
  <si>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</si>
  <si>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</si>
  <si>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</si>
  <si>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</si>
  <si>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</si>
  <si>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</si>
  <si>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</si>
  <si>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</si>
  <si>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</si>
  <si>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</si>
  <si>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</si>
  <si>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</si>
  <si>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</si>
  <si>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</si>
  <si>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</si>
  <si>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</si>
  <si>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</si>
  <si>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</si>
  <si>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</si>
  <si>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</si>
  <si>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</si>
  <si>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</si>
  <si>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</si>
  <si>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</si>
  <si>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</si>
  <si>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</si>
  <si>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</si>
  <si>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</si>
  <si>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</si>
  <si>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</si>
  <si>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</si>
  <si>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</si>
  <si>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</si>
  <si>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</si>
  <si>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</si>
  <si>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</si>
  <si>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</si>
  <si>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</si>
  <si>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</si>
  <si>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</si>
  <si>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</si>
  <si>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</si>
  <si>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</si>
  <si>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</si>
  <si>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</si>
  <si>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</si>
  <si>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</si>
  <si>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</si>
  <si>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</si>
  <si>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</si>
  <si>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</si>
  <si>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</si>
  <si>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</si>
  <si>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</si>
  <si>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</si>
  <si>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</si>
  <si>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</si>
  <si>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</si>
  <si>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</si>
  <si>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</si>
  <si>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</si>
  <si>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</si>
  <si>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</si>
  <si>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</si>
  <si>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</si>
  <si>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</si>
  <si>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</si>
  <si>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</si>
  <si>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</si>
  <si>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</si>
  <si>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</si>
  <si>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</si>
  <si>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</si>
  <si>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</si>
  <si>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</si>
  <si>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</si>
  <si>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</si>
  <si>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</si>
  <si>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</si>
  <si>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</si>
  <si>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</si>
  <si>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</si>
  <si>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</si>
  <si>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</si>
  <si>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</si>
  <si>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</si>
  <si>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</si>
  <si>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</si>
  <si>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</si>
  <si>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</si>
  <si>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</si>
  <si>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</si>
  <si>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</si>
  <si>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</si>
  <si>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</si>
  <si>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</si>
  <si>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</si>
  <si>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</si>
  <si>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</si>
  <si>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</si>
  <si>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</si>
  <si>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</si>
  <si>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</si>
  <si>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</si>
  <si>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</si>
  <si>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</si>
  <si>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</si>
  <si>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</si>
  <si>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</si>
  <si>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</si>
  <si>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</si>
  <si>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</si>
  <si>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</si>
  <si>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</si>
  <si>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</si>
  <si>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</si>
  <si>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</si>
  <si>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</si>
  <si>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</si>
  <si>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</si>
  <si>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</si>
  <si>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</si>
  <si>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</si>
  <si>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</si>
  <si>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</si>
  <si>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</si>
  <si>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</si>
  <si>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</si>
  <si>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</si>
  <si>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</si>
  <si>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</si>
  <si>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</si>
  <si>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</si>
  <si>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</si>
  <si>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</si>
  <si>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</si>
  <si>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</si>
  <si>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</si>
  <si>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</si>
  <si>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</si>
  <si>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</si>
  <si>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</si>
  <si>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</si>
  <si>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</si>
  <si>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</si>
  <si>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</si>
  <si>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</si>
  <si>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</si>
  <si>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</si>
  <si>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</si>
  <si>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</si>
  <si>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</si>
  <si>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</si>
  <si>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</si>
  <si>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</si>
  <si>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</si>
  <si>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</si>
  <si>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</si>
  <si>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</si>
  <si>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</si>
  <si>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</si>
  <si>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</si>
  <si>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</si>
  <si>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</si>
  <si>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</si>
  <si>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</si>
  <si>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</si>
  <si>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</si>
  <si>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</si>
  <si>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</si>
  <si>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</si>
  <si>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</si>
  <si>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</si>
  <si>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</si>
  <si>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</si>
  <si>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</si>
  <si>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</si>
  <si>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</si>
  <si>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</si>
  <si>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</si>
  <si>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</si>
  <si>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</si>
  <si>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</si>
  <si>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</si>
  <si>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</si>
  <si>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</si>
  <si>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</si>
  <si>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</si>
  <si>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</si>
  <si>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</si>
  <si>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</si>
  <si>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</si>
  <si>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</si>
  <si>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</si>
  <si>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</si>
  <si>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</si>
  <si>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</si>
  <si>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</si>
  <si>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</si>
  <si>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</si>
  <si>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</si>
  <si>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</si>
  <si>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</si>
  <si>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</si>
  <si>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</si>
  <si>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</si>
  <si>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</si>
  <si>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</si>
  <si>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</si>
  <si>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</si>
  <si>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</si>
  <si>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</si>
  <si>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</si>
  <si>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</si>
  <si>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</si>
  <si>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</si>
  <si>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</si>
  <si>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</si>
  <si>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</si>
  <si>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</si>
  <si>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</si>
  <si>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</si>
  <si>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</si>
  <si>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</si>
  <si>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</si>
  <si>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</si>
  <si>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</si>
  <si>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</si>
  <si>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</si>
  <si>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</si>
  <si>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</si>
  <si>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</si>
  <si>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</si>
  <si>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</si>
  <si>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</si>
  <si>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</si>
  <si>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</si>
  <si>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</si>
  <si>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</si>
  <si>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</si>
  <si>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</si>
  <si>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</si>
  <si>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</si>
  <si>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</si>
  <si>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</si>
  <si>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</si>
  <si>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</si>
  <si>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</si>
  <si>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</si>
  <si>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</si>
  <si>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</si>
  <si>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</si>
  <si>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</si>
  <si>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</si>
  <si>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</si>
  <si>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</si>
  <si>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</si>
  <si>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</si>
  <si>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</si>
  <si>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</si>
  <si>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</si>
  <si>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</si>
  <si>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</si>
  <si>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</si>
  <si>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</si>
  <si>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</si>
  <si>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</si>
  <si>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</si>
  <si>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</si>
  <si>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</si>
  <si>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</si>
  <si>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</si>
  <si>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</si>
  <si>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</si>
  <si>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</si>
  <si>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</si>
  <si>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</si>
  <si>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</si>
  <si>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</si>
  <si>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</si>
  <si>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</si>
  <si>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Vsync</t>
  </si>
  <si>
    <t>XVS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</si>
  <si>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</si>
  <si>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</si>
  <si>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</si>
  <si>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</si>
  <si>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</si>
  <si>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</si>
  <si>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</si>
  <si>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</si>
  <si>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</si>
  <si>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</si>
  <si>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</si>
  <si>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</si>
  <si>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</si>
  <si>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</si>
  <si>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</si>
  <si>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</si>
  <si>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</si>
  <si>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</si>
  <si>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</si>
  <si>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</si>
  <si>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</si>
  <si>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</si>
  <si>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</si>
  <si>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</si>
  <si>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</si>
  <si>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</si>
  <si>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</si>
  <si>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</si>
  <si>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</si>
  <si>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</si>
  <si>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</si>
  <si>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</si>
  <si>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</si>
  <si>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</si>
  <si>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</si>
  <si>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</si>
  <si>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</si>
  <si>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</si>
  <si>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</si>
  <si>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</si>
  <si>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</si>
  <si>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</si>
  <si>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</si>
  <si>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</si>
  <si>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</si>
  <si>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</si>
  <si>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</si>
  <si>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</si>
  <si>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</si>
  <si>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</si>
  <si>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</si>
  <si>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</si>
  <si>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</si>
  <si>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</si>
  <si>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</si>
  <si>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</si>
  <si>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</si>
  <si>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</si>
  <si>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</si>
  <si>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</si>
  <si>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</si>
  <si>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</si>
  <si>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</si>
  <si>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</si>
  <si>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</si>
  <si>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</si>
  <si>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</si>
  <si>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</si>
  <si>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</si>
  <si>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</si>
  <si>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</si>
  <si>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</si>
  <si>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</si>
  <si>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</si>
  <si>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</si>
  <si>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</si>
  <si>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</si>
  <si>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</si>
  <si>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</si>
  <si>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</si>
  <si>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</si>
  <si>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</si>
  <si>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</si>
  <si>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</si>
  <si>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</si>
  <si>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</si>
  <si>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</si>
  <si>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</si>
  <si>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</si>
  <si>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</si>
  <si>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</si>
  <si>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</si>
  <si>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</si>
  <si>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</si>
  <si>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</si>
  <si>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</si>
  <si>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</si>
  <si>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</si>
  <si>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</si>
  <si>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</si>
  <si>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</si>
  <si>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</si>
  <si>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</si>
  <si>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</si>
  <si>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</si>
  <si>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</si>
  <si>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</si>
  <si>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</si>
  <si>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</si>
  <si>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</si>
  <si>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</si>
  <si>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</si>
  <si>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</si>
  <si>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</si>
  <si>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</si>
  <si>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</si>
  <si>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</si>
  <si>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</si>
  <si>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</si>
  <si>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</si>
  <si>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</si>
  <si>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</si>
  <si>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</si>
  <si>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</si>
  <si>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</si>
  <si>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</si>
  <si>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</si>
  <si>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</si>
  <si>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</si>
  <si>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</si>
  <si>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</si>
  <si>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</si>
  <si>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</si>
  <si>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</si>
  <si>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</si>
  <si>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</si>
  <si>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</si>
  <si>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</si>
  <si>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</si>
  <si>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</si>
  <si>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</si>
  <si>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</si>
  <si>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</si>
  <si>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</si>
  <si>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</si>
  <si>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</si>
  <si>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</si>
  <si>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</si>
  <si>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</si>
  <si>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</si>
  <si>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</si>
  <si>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</si>
  <si>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</si>
  <si>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</si>
  <si>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</si>
  <si>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</si>
  <si>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</si>
  <si>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</si>
  <si>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</si>
  <si>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</si>
  <si>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</si>
  <si>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</si>
  <si>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</si>
  <si>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</si>
  <si>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</si>
  <si>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</si>
  <si>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</si>
  <si>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</si>
  <si>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</si>
  <si>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</si>
  <si>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</si>
  <si>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</si>
  <si>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</si>
  <si>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</si>
  <si>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</si>
  <si>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</si>
  <si>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</si>
  <si>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</si>
  <si>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</si>
  <si>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</si>
  <si>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</si>
  <si>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</si>
  <si>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</si>
  <si>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</si>
  <si>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</si>
  <si>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</si>
  <si>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</si>
  <si>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</si>
  <si>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</si>
  <si>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</si>
  <si>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</si>
  <si>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</si>
  <si>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</si>
  <si>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</si>
  <si>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</si>
  <si>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</si>
  <si>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</si>
  <si>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</si>
  <si>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</si>
  <si>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</si>
  <si>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</si>
  <si>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</si>
  <si>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</si>
  <si>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</si>
  <si>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</si>
  <si>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</si>
  <si>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</si>
  <si>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</si>
  <si>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</si>
  <si>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</si>
  <si>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</si>
  <si>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</si>
  <si>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</si>
  <si>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</si>
  <si>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</si>
  <si>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</si>
  <si>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</si>
  <si>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</si>
  <si>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</si>
  <si>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</si>
  <si>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</si>
  <si>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</si>
  <si>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</si>
  <si>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</si>
  <si>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</si>
  <si>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</si>
  <si>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</si>
  <si>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</si>
  <si>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</si>
  <si>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</si>
  <si>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</si>
  <si>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</si>
  <si>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</si>
  <si>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</si>
  <si>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</si>
  <si>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</si>
  <si>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</si>
  <si>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</si>
  <si>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</si>
  <si>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</si>
  <si>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</si>
  <si>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</si>
  <si>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</si>
  <si>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</si>
  <si>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</si>
  <si>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</si>
  <si>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</si>
  <si>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</si>
  <si>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</si>
  <si>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</si>
  <si>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</si>
  <si>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</si>
  <si>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</si>
  <si>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</si>
  <si>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</si>
  <si>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</si>
  <si>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</si>
  <si>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</si>
  <si>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</si>
  <si>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</si>
  <si>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</si>
  <si>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</si>
  <si>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</si>
  <si>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</si>
  <si>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</si>
  <si>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</si>
  <si>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</si>
  <si>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</si>
  <si>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</si>
  <si>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</si>
  <si>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</si>
  <si>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</si>
  <si>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</si>
  <si>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</si>
  <si>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</si>
  <si>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</si>
  <si>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</si>
  <si>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</si>
  <si>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</si>
  <si>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</si>
  <si>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</si>
  <si>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</si>
  <si>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</si>
  <si>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</si>
  <si>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</si>
  <si>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</si>
  <si>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</si>
  <si>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</si>
  <si>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</si>
  <si>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</si>
  <si>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</si>
  <si>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105618830.0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</si>
  <si>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</si>
  <si>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</si>
  <si>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</si>
  <si>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</si>
  <si>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</si>
  <si>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</si>
  <si>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</si>
  <si>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</si>
  <si>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</si>
  <si>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</si>
  <si>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</si>
  <si>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</si>
  <si>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</si>
  <si>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</si>
  <si>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</si>
  <si>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</si>
  <si>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</si>
  <si>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</si>
  <si>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</si>
  <si>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</si>
  <si>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</si>
  <si>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</si>
  <si>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</si>
  <si>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</si>
  <si>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</si>
  <si>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</si>
  <si>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</si>
  <si>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</si>
  <si>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</si>
  <si>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</si>
  <si>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</si>
  <si>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</si>
  <si>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</si>
  <si>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</si>
  <si>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</si>
  <si>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</si>
  <si>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</si>
  <si>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</si>
  <si>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</si>
  <si>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</si>
  <si>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</si>
  <si>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</si>
  <si>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</si>
  <si>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</si>
  <si>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</si>
  <si>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</si>
  <si>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</si>
  <si>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</si>
  <si>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</si>
  <si>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</si>
  <si>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</si>
  <si>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</si>
  <si>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</si>
  <si>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</si>
  <si>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</si>
  <si>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</si>
  <si>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</si>
  <si>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</si>
  <si>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</si>
  <si>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</si>
  <si>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</si>
  <si>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</si>
  <si>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</si>
  <si>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</si>
  <si>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</si>
  <si>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</si>
  <si>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</si>
  <si>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</si>
  <si>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</si>
  <si>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</si>
  <si>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</si>
  <si>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</si>
  <si>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</si>
  <si>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</si>
  <si>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</si>
  <si>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</si>
  <si>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</si>
  <si>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</si>
  <si>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</si>
  <si>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</si>
  <si>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</si>
  <si>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</si>
  <si>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</si>
  <si>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</si>
  <si>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</si>
  <si>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</si>
  <si>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</si>
  <si>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</si>
  <si>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</si>
  <si>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</si>
  <si>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</si>
  <si>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</si>
  <si>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</si>
  <si>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</si>
  <si>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</si>
  <si>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</si>
  <si>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</si>
  <si>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</si>
  <si>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</si>
  <si>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</si>
  <si>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</si>
  <si>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</si>
  <si>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</si>
  <si>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</si>
  <si>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</si>
  <si>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</si>
  <si>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</si>
  <si>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</si>
  <si>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</si>
  <si>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</si>
  <si>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</si>
  <si>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</si>
  <si>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</si>
  <si>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</si>
  <si>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</si>
  <si>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</si>
  <si>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</si>
  <si>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</si>
  <si>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</si>
  <si>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</si>
  <si>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</si>
  <si>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</si>
  <si>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</si>
  <si>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</si>
  <si>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</si>
  <si>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</si>
  <si>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</si>
  <si>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</si>
  <si>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</si>
  <si>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</si>
  <si>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</si>
  <si>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</si>
  <si>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</si>
  <si>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</si>
  <si>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</si>
  <si>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</si>
  <si>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</si>
  <si>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</si>
  <si>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</si>
  <si>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</si>
  <si>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</si>
  <si>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</si>
  <si>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</si>
  <si>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</si>
  <si>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</si>
  <si>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</si>
  <si>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</si>
  <si>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</si>
  <si>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</si>
  <si>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</si>
  <si>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</si>
  <si>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</si>
  <si>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</si>
  <si>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</si>
  <si>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</si>
  <si>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</si>
  <si>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</si>
  <si>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</si>
  <si>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</si>
  <si>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</si>
  <si>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</si>
  <si>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</si>
  <si>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</si>
  <si>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</si>
  <si>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</si>
  <si>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</si>
  <si>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</si>
  <si>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</si>
  <si>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</si>
  <si>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</si>
  <si>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</si>
  <si>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</si>
  <si>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</si>
  <si>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</si>
  <si>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</si>
  <si>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</si>
  <si>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</si>
  <si>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</si>
  <si>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</si>
  <si>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</si>
  <si>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</si>
  <si>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</si>
  <si>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</si>
  <si>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</si>
  <si>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</si>
  <si>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</si>
  <si>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</si>
  <si>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</si>
  <si>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</si>
  <si>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</si>
  <si>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</si>
  <si>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</si>
  <si>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</si>
  <si>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</si>
  <si>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</si>
  <si>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</si>
  <si>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</si>
  <si>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</si>
  <si>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</si>
  <si>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</si>
  <si>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</si>
  <si>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</si>
  <si>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</si>
  <si>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</si>
  <si>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</si>
  <si>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</si>
  <si>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</si>
  <si>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</si>
  <si>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</si>
  <si>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</si>
  <si>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</si>
  <si>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</si>
  <si>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</si>
  <si>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</si>
  <si>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</si>
  <si>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</si>
  <si>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</si>
  <si>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</si>
  <si>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</si>
  <si>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</si>
  <si>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</si>
  <si>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</si>
  <si>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</si>
  <si>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</si>
  <si>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</si>
  <si>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</si>
  <si>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</si>
  <si>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</si>
  <si>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</si>
  <si>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</si>
  <si>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</si>
  <si>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</si>
  <si>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</si>
  <si>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</si>
  <si>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</si>
  <si>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</si>
  <si>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</si>
  <si>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</si>
  <si>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</si>
  <si>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</si>
  <si>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</si>
  <si>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</si>
  <si>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</si>
  <si>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</si>
  <si>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</si>
  <si>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</si>
  <si>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</si>
  <si>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</si>
  <si>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</si>
  <si>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</si>
  <si>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</si>
  <si>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</si>
  <si>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</si>
  <si>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</si>
  <si>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</si>
  <si>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</si>
  <si>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</si>
  <si>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</si>
  <si>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</si>
  <si>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</si>
  <si>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</si>
  <si>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</si>
  <si>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</si>
  <si>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</si>
  <si>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</si>
  <si>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</si>
  <si>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</si>
  <si>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</si>
  <si>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</si>
  <si>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</si>
  <si>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</si>
  <si>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</si>
  <si>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</si>
  <si>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</si>
  <si>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</si>
  <si>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</si>
  <si>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</si>
  <si>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</si>
  <si>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</si>
  <si>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</si>
  <si>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</si>
  <si>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</si>
  <si>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</si>
  <si>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</si>
  <si>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</si>
  <si>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</si>
  <si>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</si>
  <si>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</si>
  <si>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</si>
  <si>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</si>
  <si>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</si>
  <si>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</si>
  <si>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</si>
  <si>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</si>
  <si>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</si>
  <si>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</si>
  <si>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</si>
  <si>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</si>
  <si>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</si>
  <si>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</si>
  <si>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</si>
  <si>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</si>
  <si>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</si>
  <si>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</si>
  <si>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</si>
  <si>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</si>
  <si>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</si>
  <si>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</si>
  <si>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</si>
  <si>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</si>
  <si>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</si>
  <si>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</si>
  <si>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</si>
  <si>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</si>
  <si>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</si>
  <si>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</si>
  <si>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</si>
  <si>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</si>
  <si>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</si>
  <si>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</si>
  <si>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</si>
  <si>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</si>
  <si>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</si>
  <si>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</si>
  <si>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</si>
  <si>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</si>
  <si>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</si>
  <si>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</si>
  <si>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</si>
  <si>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</si>
  <si>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</si>
  <si>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</si>
  <si>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</si>
  <si>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</si>
  <si>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</si>
  <si>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</si>
  <si>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</si>
  <si>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</si>
  <si>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</si>
  <si>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</si>
  <si>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</si>
  <si>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</si>
  <si>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</si>
  <si>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</si>
  <si>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</si>
  <si>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</si>
  <si>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</si>
  <si>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</si>
  <si>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</si>
  <si>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</si>
  <si>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</si>
  <si>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</si>
  <si>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</si>
  <si>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</si>
  <si>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</si>
  <si>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</si>
  <si>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</si>
  <si>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</si>
  <si>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</si>
  <si>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</si>
  <si>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</si>
  <si>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</si>
  <si>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</si>
  <si>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</si>
  <si>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</si>
  <si>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</si>
  <si>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</si>
  <si>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</si>
  <si>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</si>
  <si>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</si>
  <si>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</si>
  <si>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</si>
  <si>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</si>
  <si>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</si>
  <si>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</si>
  <si>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</si>
  <si>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</si>
  <si>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</si>
  <si>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</si>
  <si>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</si>
  <si>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</si>
  <si>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</si>
  <si>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</si>
  <si>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</si>
  <si>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</si>
  <si>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</si>
  <si>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</si>
  <si>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</si>
  <si>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</si>
  <si>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</si>
  <si>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</si>
  <si>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</si>
  <si>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</si>
  <si>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</si>
  <si>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</si>
  <si>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</si>
  <si>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</si>
  <si>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</si>
  <si>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</si>
  <si>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</si>
  <si>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</si>
  <si>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</si>
  <si>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</si>
  <si>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</si>
  <si>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</si>
  <si>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</si>
  <si>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</si>
  <si>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</si>
  <si>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</si>
  <si>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</si>
  <si>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</si>
  <si>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</si>
  <si>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</si>
  <si>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</si>
  <si>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</si>
  <si>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</si>
  <si>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</si>
  <si>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</si>
  <si>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</si>
  <si>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</si>
  <si>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</si>
  <si>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</si>
  <si>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</si>
  <si>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</si>
  <si>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</si>
  <si>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</si>
  <si>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</si>
  <si>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</si>
  <si>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</si>
  <si>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</si>
  <si>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</si>
  <si>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</si>
  <si>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</si>
  <si>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</si>
  <si>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</si>
  <si>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</si>
  <si>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</si>
  <si>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</si>
  <si>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</si>
  <si>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</si>
  <si>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</si>
  <si>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</si>
  <si>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</si>
  <si>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</si>
  <si>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</si>
  <si>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</si>
  <si>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</si>
  <si>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</si>
  <si>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</si>
  <si>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</si>
  <si>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</si>
  <si>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</si>
  <si>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</si>
  <si>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</si>
  <si>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</si>
  <si>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</si>
  <si>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</si>
  <si>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</si>
  <si>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</si>
  <si>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</si>
  <si>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</si>
  <si>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</si>
  <si>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</si>
  <si>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</si>
  <si>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</si>
  <si>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</si>
  <si>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</si>
  <si>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</si>
  <si>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</si>
  <si>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</si>
  <si>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</si>
  <si>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</si>
  <si>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</si>
  <si>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</si>
  <si>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</si>
  <si>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</si>
  <si>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</si>
  <si>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</si>
  <si>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</si>
  <si>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</si>
  <si>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</si>
  <si>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</si>
  <si>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</si>
  <si>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</si>
  <si>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</si>
  <si>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</si>
  <si>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</si>
  <si>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</si>
  <si>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</si>
  <si>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</si>
  <si>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</si>
  <si>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</si>
  <si>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</si>
  <si>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</si>
  <si>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</si>
  <si>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</si>
  <si>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</si>
  <si>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</si>
  <si>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</si>
  <si>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</si>
  <si>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</si>
  <si>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</si>
  <si>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</si>
  <si>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</si>
  <si>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</si>
  <si>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</si>
  <si>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</si>
  <si>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</si>
  <si>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</si>
  <si>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</si>
  <si>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</si>
  <si>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</si>
  <si>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</si>
  <si>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</si>
  <si>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</si>
  <si>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</si>
  <si>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</si>
  <si>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</si>
  <si>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</si>
  <si>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</si>
  <si>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</si>
  <si>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</si>
  <si>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</si>
  <si>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</si>
  <si>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</si>
  <si>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</si>
  <si>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</si>
  <si>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</si>
  <si>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</si>
  <si>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</si>
  <si>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</si>
  <si>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</si>
  <si>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</si>
  <si>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</si>
  <si>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</si>
  <si>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</si>
  <si>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</si>
  <si>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</si>
  <si>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</si>
  <si>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</si>
  <si>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</si>
  <si>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</si>
  <si>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</si>
  <si>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</si>
  <si>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</si>
  <si>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</si>
  <si>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</si>
  <si>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</si>
  <si>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</si>
  <si>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</si>
  <si>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</si>
  <si>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</si>
  <si>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</si>
  <si>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</si>
  <si>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</si>
  <si>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</si>
  <si>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</si>
  <si>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</si>
  <si>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</si>
  <si>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</si>
  <si>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</si>
  <si>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</si>
  <si>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</si>
  <si>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</si>
  <si>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</si>
  <si>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</si>
  <si>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</si>
  <si>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</si>
  <si>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</si>
  <si>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</si>
  <si>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</si>
  <si>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</si>
  <si>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</si>
  <si>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</si>
  <si>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</si>
  <si>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</si>
  <si>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</si>
  <si>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</si>
  <si>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</si>
  <si>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</si>
  <si>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</si>
  <si>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</si>
  <si>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</si>
  <si>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</si>
  <si>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</si>
  <si>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</si>
  <si>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</si>
  <si>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</si>
  <si>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</si>
  <si>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</si>
  <si>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</si>
  <si>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</si>
  <si>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</si>
  <si>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</si>
  <si>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</si>
  <si>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</si>
  <si>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</si>
  <si>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</si>
  <si>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</si>
  <si>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</si>
  <si>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</si>
  <si>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</si>
  <si>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</si>
  <si>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</si>
  <si>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</si>
  <si>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</si>
  <si>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</si>
  <si>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</si>
  <si>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</si>
  <si>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</si>
  <si>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</si>
  <si>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</si>
  <si>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</si>
  <si>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</si>
  <si>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</si>
  <si>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</si>
  <si>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</si>
  <si>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</si>
  <si>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</si>
  <si>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</si>
  <si>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</si>
  <si>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</si>
  <si>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</si>
  <si>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</si>
  <si>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</si>
  <si>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</si>
  <si>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</si>
  <si>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</si>
  <si>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</si>
  <si>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</si>
  <si>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</si>
  <si>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</si>
  <si>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</si>
  <si>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</si>
  <si>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</si>
  <si>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</si>
  <si>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</si>
  <si>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</si>
  <si>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</si>
  <si>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</si>
  <si>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</si>
  <si>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</si>
  <si>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</si>
  <si>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</si>
  <si>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</si>
  <si>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0.00000026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</si>
  <si>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</si>
  <si>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</si>
  <si>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</si>
  <si>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</si>
  <si>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</si>
  <si>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</si>
  <si>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</si>
  <si>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</si>
  <si>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</si>
  <si>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</si>
  <si>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</si>
  <si>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</si>
  <si>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</si>
  <si>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</si>
  <si>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</si>
  <si>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</si>
  <si>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</si>
  <si>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</si>
  <si>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</si>
  <si>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</si>
  <si>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</si>
  <si>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</si>
  <si>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</si>
  <si>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</si>
  <si>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</si>
  <si>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</si>
  <si>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</si>
  <si>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</si>
  <si>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</si>
  <si>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</si>
  <si>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</si>
  <si>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</si>
  <si>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</si>
  <si>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</si>
  <si>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</si>
  <si>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</si>
  <si>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</si>
  <si>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</si>
  <si>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</si>
  <si>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</si>
  <si>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</si>
  <si>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</si>
  <si>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</si>
  <si>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</si>
  <si>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</si>
  <si>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</si>
  <si>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</si>
  <si>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</si>
  <si>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</si>
  <si>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</si>
  <si>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</si>
  <si>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</si>
  <si>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</si>
  <si>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</si>
  <si>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</si>
  <si>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</si>
  <si>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</si>
  <si>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</si>
  <si>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</si>
  <si>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</si>
  <si>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</si>
  <si>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</si>
  <si>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</si>
  <si>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</si>
  <si>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</si>
  <si>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</si>
  <si>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</si>
  <si>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</si>
  <si>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</si>
  <si>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</si>
  <si>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</si>
  <si>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</si>
  <si>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</si>
  <si>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</si>
  <si>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</si>
  <si>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</si>
  <si>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</si>
  <si>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</si>
  <si>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</si>
  <si>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</si>
  <si>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</si>
  <si>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</si>
  <si>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</si>
  <si>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</si>
  <si>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</si>
  <si>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</si>
  <si>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</si>
  <si>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</si>
  <si>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</si>
  <si>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</si>
  <si>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</si>
  <si>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</si>
  <si>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</si>
  <si>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</si>
  <si>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</si>
  <si>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</si>
  <si>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</si>
  <si>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</si>
  <si>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</si>
  <si>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</si>
  <si>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</si>
  <si>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</si>
  <si>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</si>
  <si>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</si>
  <si>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</si>
  <si>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</si>
  <si>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</si>
  <si>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</si>
  <si>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</si>
  <si>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</si>
  <si>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</si>
  <si>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</si>
  <si>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</si>
  <si>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</si>
  <si>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</si>
  <si>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</si>
  <si>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</si>
  <si>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</si>
  <si>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</si>
  <si>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</si>
  <si>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</si>
  <si>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</si>
  <si>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</si>
  <si>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</si>
  <si>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</si>
  <si>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</si>
  <si>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</si>
  <si>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</si>
  <si>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</si>
  <si>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</si>
  <si>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</si>
  <si>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</si>
  <si>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</si>
  <si>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</si>
  <si>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</si>
  <si>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</si>
  <si>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</si>
  <si>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</si>
  <si>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</si>
  <si>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</si>
  <si>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</si>
  <si>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</si>
  <si>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</si>
  <si>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</si>
  <si>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</si>
  <si>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</si>
  <si>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</si>
  <si>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</si>
  <si>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</si>
  <si>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0.00000100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</si>
  <si>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</si>
  <si>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</si>
  <si>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</si>
  <si>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</si>
  <si>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</si>
  <si>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</si>
  <si>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</si>
  <si>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</si>
  <si>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</si>
  <si>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</si>
  <si>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</si>
  <si>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</si>
  <si>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</si>
  <si>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</si>
  <si>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</si>
  <si>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</si>
  <si>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</si>
  <si>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</si>
  <si>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</si>
  <si>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</si>
  <si>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</si>
  <si>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</si>
  <si>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</si>
  <si>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</si>
  <si>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</si>
  <si>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</si>
  <si>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</si>
  <si>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</si>
  <si>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</si>
  <si>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</si>
  <si>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</si>
  <si>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</si>
  <si>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</si>
  <si>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</si>
  <si>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</si>
  <si>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</si>
  <si>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</si>
  <si>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</si>
  <si>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</si>
  <si>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</si>
  <si>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</si>
  <si>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</si>
  <si>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</si>
  <si>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</si>
  <si>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</si>
  <si>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</si>
  <si>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</si>
  <si>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</si>
  <si>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</si>
  <si>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</si>
  <si>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</si>
  <si>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</si>
  <si>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</si>
  <si>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</si>
  <si>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</si>
  <si>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</si>
  <si>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</si>
  <si>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</si>
  <si>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</si>
  <si>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</si>
  <si>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</si>
  <si>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</si>
  <si>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</si>
  <si>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</si>
  <si>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</si>
  <si>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</si>
  <si>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</si>
  <si>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</si>
  <si>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</si>
  <si>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</si>
  <si>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</si>
  <si>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</si>
  <si>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</si>
  <si>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</si>
  <si>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</si>
  <si>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</si>
  <si>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</si>
  <si>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</si>
  <si>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</si>
  <si>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</si>
  <si>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</si>
  <si>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</si>
  <si>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</si>
  <si>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</si>
  <si>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</si>
  <si>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</si>
  <si>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</si>
  <si>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</si>
  <si>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</si>
  <si>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</si>
  <si>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</si>
  <si>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</si>
  <si>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</si>
  <si>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</si>
  <si>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</si>
  <si>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</si>
  <si>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</si>
  <si>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</si>
  <si>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</si>
  <si>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</si>
  <si>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</si>
  <si>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</si>
  <si>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</si>
  <si>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</si>
  <si>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</si>
  <si>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</si>
  <si>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</si>
  <si>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</si>
  <si>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</si>
  <si>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</si>
  <si>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</si>
  <si>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</si>
  <si>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</si>
  <si>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</si>
  <si>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</si>
  <si>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</si>
  <si>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</si>
  <si>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</si>
  <si>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</si>
  <si>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</si>
  <si>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</si>
  <si>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</si>
  <si>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</si>
  <si>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</si>
  <si>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</si>
  <si>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</si>
  <si>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</si>
  <si>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</si>
  <si>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</si>
  <si>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</si>
  <si>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</si>
  <si>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</si>
  <si>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</si>
  <si>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</si>
  <si>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</si>
  <si>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</si>
  <si>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</si>
  <si>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</si>
  <si>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</si>
  <si>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</si>
  <si>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</si>
  <si>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</si>
  <si>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</si>
  <si>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</si>
  <si>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</si>
  <si>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</si>
  <si>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</si>
  <si>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</si>
  <si>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</si>
  <si>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</si>
  <si>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</si>
  <si>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</si>
  <si>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</si>
  <si>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</si>
  <si>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</si>
  <si>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</si>
  <si>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</si>
  <si>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</si>
  <si>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</si>
  <si>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</si>
  <si>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</si>
  <si>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</si>
  <si>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</si>
  <si>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</si>
  <si>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</si>
  <si>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</si>
  <si>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</si>
  <si>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</si>
  <si>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</si>
  <si>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</si>
  <si>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</si>
  <si>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</si>
  <si>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</si>
  <si>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</si>
  <si>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</si>
  <si>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</si>
  <si>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</si>
  <si>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</si>
  <si>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</si>
  <si>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</si>
  <si>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</si>
  <si>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</si>
  <si>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</si>
  <si>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</si>
  <si>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</si>
  <si>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</si>
  <si>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</si>
  <si>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</si>
  <si>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</si>
  <si>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</si>
  <si>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</si>
  <si>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</si>
  <si>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</si>
  <si>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</si>
  <si>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</si>
  <si>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</si>
  <si>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</si>
  <si>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</si>
  <si>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</si>
  <si>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</si>
  <si>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</si>
  <si>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</si>
  <si>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</si>
  <si>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</si>
  <si>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</si>
  <si>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</si>
  <si>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</si>
  <si>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</si>
  <si>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</si>
  <si>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</si>
  <si>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</si>
  <si>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</si>
  <si>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</si>
  <si>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</si>
  <si>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</si>
  <si>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</si>
  <si>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</si>
  <si>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</si>
  <si>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</si>
  <si>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</si>
  <si>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</si>
  <si>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</si>
  <si>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</si>
  <si>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</si>
  <si>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</si>
  <si>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</si>
  <si>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</si>
  <si>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</si>
  <si>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</si>
  <si>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</si>
  <si>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</si>
  <si>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</si>
  <si>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</si>
  <si>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</si>
  <si>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</si>
  <si>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</si>
  <si>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</si>
  <si>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</si>
  <si>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</si>
  <si>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</si>
  <si>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</si>
  <si>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</si>
  <si>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</si>
  <si>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</si>
  <si>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</si>
  <si>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</si>
  <si>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</si>
  <si>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</si>
  <si>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</si>
  <si>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</si>
  <si>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</si>
  <si>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</si>
  <si>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</si>
  <si>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</si>
  <si>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</si>
  <si>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</si>
  <si>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</si>
  <si>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</si>
  <si>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</si>
  <si>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</si>
  <si>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</si>
  <si>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</si>
  <si>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</si>
  <si>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</si>
  <si>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</si>
  <si>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</si>
  <si>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</si>
  <si>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</si>
  <si>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</si>
  <si>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uniburst</t>
  </si>
  <si>
    <t>UniBURST</t>
  </si>
  <si>
    <t>UNIBURST</t>
  </si>
  <si>
    <t>705</t>
  </si>
  <si>
    <t>999999.0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</si>
  <si>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</si>
  <si>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</si>
  <si>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</si>
  <si>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</si>
  <si>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</si>
  <si>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</si>
  <si>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</si>
  <si>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</si>
  <si>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</si>
  <si>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</si>
  <si>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</si>
  <si>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</si>
  <si>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</si>
  <si>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</si>
  <si>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</si>
  <si>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</si>
  <si>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</si>
  <si>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</si>
  <si>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</si>
  <si>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</si>
  <si>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</si>
  <si>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</si>
  <si>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</si>
  <si>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</si>
  <si>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</si>
  <si>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</si>
  <si>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</si>
  <si>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</si>
  <si>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</si>
  <si>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</si>
  <si>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</si>
  <si>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</si>
  <si>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</si>
  <si>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</si>
  <si>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</si>
  <si>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</si>
  <si>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</si>
  <si>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</si>
  <si>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</si>
  <si>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</si>
  <si>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</si>
  <si>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</si>
  <si>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</si>
  <si>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</si>
  <si>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</si>
  <si>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</si>
  <si>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</si>
  <si>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</si>
  <si>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</si>
  <si>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</si>
  <si>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</si>
  <si>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</si>
  <si>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</si>
  <si>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</si>
  <si>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</si>
  <si>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</si>
  <si>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</si>
  <si>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</si>
  <si>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</si>
  <si>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</si>
  <si>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</si>
  <si>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</si>
  <si>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</si>
  <si>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</si>
  <si>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</si>
  <si>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</si>
  <si>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</si>
  <si>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</si>
  <si>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</si>
  <si>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</si>
  <si>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</si>
  <si>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</si>
  <si>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</si>
  <si>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</si>
  <si>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</si>
  <si>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</si>
  <si>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</si>
  <si>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</si>
  <si>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</si>
  <si>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</si>
  <si>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</si>
  <si>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</si>
  <si>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</si>
  <si>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</si>
  <si>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</si>
  <si>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</si>
  <si>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</si>
  <si>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</si>
  <si>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</si>
  <si>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</si>
  <si>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</si>
  <si>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</si>
  <si>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</si>
  <si>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</si>
  <si>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</si>
  <si>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</si>
  <si>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</si>
  <si>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</si>
  <si>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</si>
  <si>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</si>
  <si>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</si>
  <si>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8990019.0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</si>
  <si>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</si>
  <si>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</si>
  <si>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</si>
  <si>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</si>
  <si>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</si>
  <si>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</si>
  <si>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</si>
  <si>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</si>
  <si>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</si>
  <si>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</si>
  <si>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</si>
  <si>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</si>
  <si>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</si>
  <si>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</si>
  <si>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</si>
  <si>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</si>
  <si>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</si>
  <si>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</si>
  <si>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</si>
  <si>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</si>
  <si>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</si>
  <si>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</si>
  <si>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</si>
  <si>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</si>
  <si>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</si>
  <si>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</si>
  <si>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</si>
  <si>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</si>
  <si>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</si>
  <si>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</si>
  <si>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</si>
  <si>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</si>
  <si>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</si>
  <si>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</si>
  <si>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</si>
  <si>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</si>
  <si>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</si>
  <si>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</si>
  <si>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</si>
  <si>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</si>
  <si>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</si>
  <si>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</si>
  <si>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</si>
  <si>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</si>
  <si>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</si>
  <si>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</si>
  <si>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</si>
  <si>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</si>
  <si>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</si>
  <si>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</si>
  <si>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</si>
  <si>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</si>
  <si>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</si>
  <si>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</si>
  <si>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</si>
  <si>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</si>
  <si>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</si>
  <si>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</si>
  <si>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</si>
  <si>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</si>
  <si>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</si>
  <si>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</si>
  <si>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</si>
  <si>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</si>
  <si>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</si>
  <si>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</si>
  <si>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</si>
  <si>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</si>
  <si>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</si>
  <si>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</si>
  <si>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</si>
  <si>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</si>
  <si>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</si>
  <si>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</si>
  <si>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</si>
  <si>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</si>
  <si>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</si>
  <si>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0.00000047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</si>
  <si>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</si>
  <si>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</si>
  <si>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</si>
  <si>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</si>
  <si>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</si>
  <si>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</si>
  <si>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</si>
  <si>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</si>
  <si>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</si>
  <si>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</si>
  <si>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</si>
  <si>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</si>
  <si>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</si>
  <si>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</si>
  <si>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</si>
  <si>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</si>
  <si>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</si>
  <si>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</si>
  <si>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</si>
  <si>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</si>
  <si>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</si>
  <si>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</si>
  <si>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</si>
  <si>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</si>
  <si>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</si>
  <si>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</si>
  <si>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</si>
  <si>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</si>
  <si>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</si>
  <si>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</si>
  <si>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</si>
  <si>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</si>
  <si>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</si>
  <si>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</si>
  <si>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</si>
  <si>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</si>
  <si>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</si>
  <si>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</si>
  <si>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</si>
  <si>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</si>
  <si>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</si>
  <si>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</si>
  <si>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</si>
  <si>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</si>
  <si>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</si>
  <si>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</si>
  <si>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</si>
  <si>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</si>
  <si>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</si>
  <si>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</si>
  <si>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</si>
  <si>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</si>
  <si>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</si>
  <si>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</si>
  <si>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</si>
  <si>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</si>
  <si>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</si>
  <si>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</si>
  <si>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</si>
  <si>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</si>
  <si>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</si>
  <si>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</si>
  <si>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</si>
  <si>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</si>
  <si>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</si>
  <si>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</si>
  <si>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</si>
  <si>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</si>
  <si>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</si>
  <si>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</si>
  <si>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</si>
  <si>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</si>
  <si>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</si>
  <si>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</si>
  <si>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</si>
  <si>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</si>
  <si>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</si>
  <si>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</si>
  <si>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</si>
  <si>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</si>
  <si>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</si>
  <si>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</si>
  <si>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</si>
  <si>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</si>
  <si>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</si>
  <si>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</si>
  <si>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</si>
  <si>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</si>
  <si>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</si>
  <si>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</si>
  <si>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</si>
  <si>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</si>
  <si>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</si>
  <si>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</si>
  <si>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</si>
  <si>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</si>
  <si>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</si>
  <si>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</si>
  <si>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</si>
  <si>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</si>
  <si>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</si>
  <si>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</si>
  <si>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</si>
  <si>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</si>
  <si>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</si>
  <si>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</si>
  <si>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</si>
  <si>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</si>
  <si>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</si>
  <si>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</si>
  <si>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</si>
  <si>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</si>
  <si>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</si>
  <si>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</si>
  <si>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</si>
  <si>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</si>
  <si>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</si>
  <si>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</si>
  <si>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</si>
  <si>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</si>
  <si>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</si>
  <si>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</si>
  <si>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</si>
  <si>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</si>
  <si>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</si>
  <si>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</si>
  <si>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</si>
  <si>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</si>
  <si>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</si>
  <si>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</si>
  <si>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</si>
  <si>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</si>
  <si>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0.18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</si>
  <si>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</si>
  <si>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</si>
  <si>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</si>
  <si>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</si>
  <si>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</si>
  <si>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</si>
  <si>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</si>
  <si>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</si>
  <si>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</si>
  <si>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</si>
  <si>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</si>
  <si>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</si>
  <si>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</si>
  <si>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</si>
  <si>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</si>
  <si>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</si>
  <si>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</si>
  <si>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</si>
  <si>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</si>
  <si>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</si>
  <si>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</si>
  <si>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</si>
  <si>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</si>
  <si>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</si>
  <si>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</si>
  <si>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</si>
  <si>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</si>
  <si>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</si>
  <si>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</si>
  <si>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</si>
  <si>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</si>
  <si>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</si>
  <si>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</si>
  <si>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0.00000021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</si>
  <si>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</si>
  <si>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</si>
  <si>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</si>
  <si>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</si>
  <si>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</si>
  <si>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</si>
  <si>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</si>
  <si>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</si>
  <si>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</si>
  <si>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</si>
  <si>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</si>
  <si>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</si>
  <si>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</si>
  <si>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</si>
  <si>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</si>
  <si>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</si>
  <si>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</si>
  <si>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</si>
  <si>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</si>
  <si>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</si>
  <si>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</si>
  <si>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</si>
  <si>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</si>
  <si>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</si>
  <si>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</si>
  <si>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</si>
  <si>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</si>
  <si>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</si>
  <si>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</si>
  <si>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</si>
  <si>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</si>
  <si>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</si>
  <si>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</si>
  <si>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</si>
  <si>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</si>
  <si>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</si>
  <si>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</si>
  <si>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</si>
  <si>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</si>
  <si>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</si>
  <si>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</si>
  <si>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</si>
  <si>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</si>
  <si>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</si>
  <si>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</si>
  <si>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</si>
  <si>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</si>
  <si>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</si>
  <si>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</si>
  <si>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</si>
  <si>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</si>
  <si>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</si>
  <si>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</si>
  <si>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</si>
  <si>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</si>
  <si>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</si>
  <si>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</si>
  <si>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</si>
  <si>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</si>
  <si>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</si>
  <si>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</si>
  <si>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</si>
  <si>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</si>
  <si>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</si>
  <si>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</si>
  <si>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</si>
  <si>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</si>
  <si>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</si>
  <si>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</si>
  <si>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</si>
  <si>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</si>
  <si>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</si>
  <si>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</si>
  <si>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</si>
  <si>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</si>
  <si>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</si>
  <si>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</si>
  <si>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</si>
  <si>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</si>
  <si>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</si>
  <si>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</si>
  <si>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</si>
  <si>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</si>
  <si>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</si>
  <si>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</si>
  <si>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</si>
  <si>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</si>
  <si>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</si>
  <si>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</si>
  <si>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</si>
  <si>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</si>
  <si>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</si>
  <si>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</si>
  <si>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</si>
  <si>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</si>
  <si>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</si>
  <si>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</si>
  <si>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</si>
  <si>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</si>
  <si>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</si>
  <si>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</si>
  <si>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</si>
  <si>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</si>
  <si>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</si>
  <si>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</si>
  <si>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</si>
  <si>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</si>
  <si>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</si>
  <si>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</si>
  <si>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</si>
  <si>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</si>
  <si>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</si>
  <si>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</si>
  <si>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</si>
  <si>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</si>
  <si>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</si>
  <si>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</si>
  <si>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</si>
  <si>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</si>
  <si>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</si>
  <si>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</si>
  <si>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</si>
  <si>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</si>
  <si>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</si>
  <si>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</si>
  <si>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</si>
  <si>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</si>
  <si>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</si>
  <si>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</si>
  <si>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</si>
  <si>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</si>
  <si>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</si>
  <si>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</si>
  <si>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</si>
  <si>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</si>
  <si>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</si>
  <si>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</si>
  <si>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</si>
  <si>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</si>
  <si>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</si>
  <si>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</si>
  <si>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</si>
  <si>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</si>
  <si>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</si>
  <si>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</si>
  <si>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</si>
  <si>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</si>
  <si>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</si>
  <si>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</si>
  <si>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</si>
  <si>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</si>
  <si>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</si>
  <si>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</si>
  <si>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</si>
  <si>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</si>
  <si>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</si>
  <si>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</si>
  <si>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</si>
  <si>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</si>
  <si>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</si>
  <si>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</si>
  <si>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</si>
  <si>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</si>
  <si>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</si>
  <si>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</si>
  <si>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</si>
  <si>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</si>
  <si>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</si>
  <si>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</si>
  <si>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</si>
  <si>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</si>
  <si>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</si>
  <si>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</si>
  <si>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</si>
  <si>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</si>
  <si>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</si>
  <si>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</si>
  <si>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</si>
  <si>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</si>
  <si>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</si>
  <si>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</si>
  <si>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</si>
  <si>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</si>
  <si>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</si>
  <si>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</si>
  <si>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</si>
  <si>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</si>
  <si>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</si>
  <si>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</si>
  <si>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</si>
  <si>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</si>
  <si>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</si>
  <si>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</si>
  <si>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</si>
  <si>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</si>
  <si>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</si>
  <si>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</si>
  <si>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</si>
  <si>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</si>
  <si>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</si>
  <si>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</si>
  <si>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</si>
  <si>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</si>
  <si>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</si>
  <si>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</si>
  <si>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</si>
  <si>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</si>
  <si>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</si>
  <si>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</si>
  <si>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</si>
  <si>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</si>
  <si>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</si>
  <si>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</si>
  <si>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</si>
  <si>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</si>
  <si>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</si>
  <si>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</si>
  <si>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</si>
  <si>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</si>
  <si>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</si>
  <si>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</si>
  <si>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</si>
  <si>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</si>
  <si>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</si>
  <si>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</si>
  <si>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</si>
  <si>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</si>
  <si>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</si>
  <si>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</si>
  <si>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</si>
  <si>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</si>
  <si>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</si>
  <si>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</si>
  <si>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</si>
  <si>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</si>
  <si>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</si>
  <si>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</si>
  <si>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</si>
  <si>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</si>
  <si>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</si>
  <si>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</si>
  <si>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</si>
  <si>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</si>
  <si>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</si>
  <si>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</si>
  <si>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</si>
  <si>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</si>
  <si>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</si>
  <si>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</si>
  <si>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</si>
  <si>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</si>
  <si>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</si>
  <si>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</si>
  <si>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</si>
  <si>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</si>
  <si>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</si>
  <si>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</si>
  <si>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</si>
  <si>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</si>
  <si>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</si>
  <si>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</si>
  <si>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</si>
  <si>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</si>
  <si>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</si>
  <si>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</si>
  <si>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</si>
  <si>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</si>
  <si>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</si>
  <si>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</si>
  <si>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</si>
  <si>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</si>
  <si>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</si>
  <si>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</si>
  <si>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</si>
  <si>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</si>
  <si>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</si>
  <si>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</si>
  <si>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</si>
  <si>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</si>
  <si>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</si>
  <si>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</si>
  <si>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</si>
  <si>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</si>
  <si>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</si>
  <si>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</si>
  <si>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</si>
  <si>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</si>
  <si>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</si>
  <si>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</si>
  <si>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</si>
  <si>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</si>
  <si>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</si>
  <si>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</si>
  <si>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</si>
  <si>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</si>
  <si>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</si>
  <si>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</si>
  <si>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</si>
  <si>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</si>
  <si>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</si>
  <si>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</si>
  <si>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</si>
  <si>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</si>
  <si>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</si>
  <si>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</si>
  <si>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</si>
  <si>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</si>
  <si>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</si>
  <si>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</si>
  <si>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</si>
  <si>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</si>
  <si>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</si>
  <si>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</si>
  <si>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</si>
  <si>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</si>
  <si>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</si>
  <si>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</si>
  <si>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</si>
  <si>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</si>
  <si>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</si>
  <si>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</si>
  <si>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</si>
  <si>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</si>
  <si>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</si>
  <si>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</si>
  <si>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</si>
  <si>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</si>
  <si>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</si>
  <si>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</si>
  <si>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</si>
  <si>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</si>
  <si>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</si>
  <si>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</si>
  <si>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</si>
  <si>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</si>
  <si>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</si>
  <si>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</si>
  <si>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</si>
  <si>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</si>
  <si>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</si>
  <si>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</si>
  <si>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</si>
  <si>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</si>
  <si>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</si>
  <si>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</si>
  <si>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</si>
  <si>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</si>
  <si>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</si>
  <si>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</si>
  <si>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</si>
  <si>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</si>
  <si>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</si>
  <si>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</si>
  <si>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</si>
  <si>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</si>
  <si>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</si>
  <si>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</si>
  <si>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</si>
  <si>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</si>
  <si>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</si>
  <si>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</si>
  <si>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</si>
  <si>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</si>
  <si>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</si>
  <si>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</si>
  <si>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</si>
  <si>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</si>
  <si>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</si>
  <si>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</si>
  <si>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</si>
  <si>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</si>
  <si>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</si>
  <si>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</si>
  <si>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</si>
  <si>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</si>
  <si>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</si>
  <si>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</si>
  <si>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</si>
  <si>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</si>
  <si>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</si>
  <si>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</si>
  <si>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</si>
  <si>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</si>
  <si>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</si>
  <si>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</si>
  <si>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</si>
  <si>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</si>
  <si>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</si>
  <si>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</si>
  <si>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</si>
  <si>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</si>
  <si>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</si>
  <si>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</si>
  <si>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</si>
  <si>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</si>
  <si>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</si>
  <si>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</si>
  <si>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</si>
  <si>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</si>
  <si>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</si>
  <si>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</si>
  <si>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</si>
  <si>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</si>
  <si>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</si>
  <si>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</si>
  <si>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</si>
  <si>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</si>
  <si>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</si>
  <si>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</si>
  <si>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</si>
  <si>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</si>
  <si>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</si>
  <si>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</si>
  <si>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</si>
  <si>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</si>
  <si>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</si>
  <si>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</si>
  <si>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</si>
  <si>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</si>
  <si>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</si>
  <si>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</si>
  <si>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</si>
  <si>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</si>
  <si>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</si>
  <si>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</si>
  <si>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</si>
  <si>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</si>
  <si>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</si>
  <si>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</si>
  <si>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</si>
  <si>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</si>
  <si>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</si>
  <si>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</si>
  <si>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</si>
  <si>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</si>
  <si>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</si>
  <si>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</si>
  <si>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</si>
  <si>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</si>
  <si>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</si>
  <si>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</si>
  <si>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</si>
  <si>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</si>
  <si>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</si>
  <si>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</si>
  <si>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</si>
  <si>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</si>
  <si>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</si>
  <si>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</si>
  <si>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</si>
  <si>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</si>
  <si>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</si>
  <si>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</si>
  <si>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</si>
  <si>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</si>
  <si>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</si>
  <si>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</si>
  <si>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</si>
  <si>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</si>
  <si>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</si>
  <si>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</si>
  <si>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</si>
  <si>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</si>
  <si>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</si>
  <si>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</si>
  <si>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</si>
  <si>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</si>
  <si>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</si>
  <si>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</si>
  <si>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</si>
  <si>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</si>
  <si>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</si>
  <si>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</si>
  <si>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</si>
  <si>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</si>
  <si>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</si>
  <si>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</si>
  <si>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</si>
  <si>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</si>
  <si>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</si>
  <si>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</si>
  <si>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</si>
  <si>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</si>
  <si>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</si>
  <si>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</si>
  <si>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</si>
  <si>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</si>
  <si>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</si>
  <si>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</si>
  <si>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</si>
  <si>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</si>
  <si>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</si>
  <si>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</si>
  <si>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</si>
  <si>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</si>
  <si>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</si>
  <si>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</si>
  <si>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</si>
  <si>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</si>
  <si>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</si>
  <si>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</si>
  <si>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</si>
  <si>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</si>
  <si>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</si>
  <si>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</si>
  <si>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</si>
  <si>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</si>
  <si>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</si>
  <si>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</si>
  <si>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</si>
  <si>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</si>
  <si>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</si>
  <si>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</si>
  <si>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</si>
  <si>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</si>
  <si>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</si>
  <si>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</si>
  <si>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</si>
  <si>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</si>
  <si>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</si>
  <si>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</si>
  <si>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</si>
  <si>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</si>
  <si>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</si>
  <si>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</si>
  <si>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</si>
  <si>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</si>
  <si>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</si>
  <si>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</si>
  <si>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</si>
  <si>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</si>
  <si>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</si>
  <si>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</si>
  <si>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</si>
  <si>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</si>
  <si>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</si>
  <si>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</si>
  <si>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</si>
  <si>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</si>
  <si>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</si>
  <si>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</si>
  <si>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</si>
  <si>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</si>
  <si>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</si>
  <si>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</si>
  <si>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</si>
  <si>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</si>
  <si>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</si>
  <si>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</si>
  <si>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</si>
  <si>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</si>
  <si>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</si>
  <si>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</si>
  <si>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</si>
  <si>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</si>
  <si>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</si>
  <si>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</si>
  <si>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</si>
  <si>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</si>
  <si>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</si>
  <si>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</si>
  <si>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</si>
  <si>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</si>
  <si>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</si>
  <si>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</si>
  <si>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</si>
  <si>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</si>
  <si>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</si>
  <si>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</si>
  <si>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</si>
  <si>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</si>
  <si>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</si>
  <si>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</si>
  <si>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</si>
  <si>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</si>
  <si>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</si>
  <si>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</si>
  <si>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</si>
  <si>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</si>
  <si>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</si>
  <si>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</si>
  <si>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</si>
  <si>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</si>
  <si>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</si>
  <si>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</si>
  <si>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</si>
  <si>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</si>
  <si>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</si>
  <si>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</si>
  <si>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</si>
  <si>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</si>
  <si>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</si>
  <si>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</si>
  <si>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</si>
  <si>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</si>
  <si>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</si>
  <si>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</si>
  <si>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</si>
  <si>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</si>
  <si>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</si>
  <si>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</si>
  <si>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</si>
  <si>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</si>
  <si>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</si>
  <si>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</si>
  <si>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</si>
  <si>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</si>
  <si>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</si>
  <si>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</si>
  <si>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</si>
  <si>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</si>
  <si>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</si>
  <si>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</si>
  <si>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</si>
  <si>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</si>
  <si>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</si>
  <si>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</si>
  <si>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</si>
  <si>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</si>
  <si>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</si>
  <si>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</si>
  <si>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</si>
  <si>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</si>
  <si>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</si>
  <si>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</si>
  <si>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</si>
  <si>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</si>
  <si>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</si>
  <si>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</si>
  <si>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</si>
  <si>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</si>
  <si>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</si>
  <si>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</si>
  <si>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</si>
  <si>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</si>
  <si>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</si>
  <si>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</si>
  <si>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</si>
  <si>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</si>
  <si>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</si>
  <si>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</si>
  <si>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</si>
  <si>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</si>
  <si>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</si>
  <si>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</si>
  <si>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</si>
  <si>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</si>
  <si>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</si>
  <si>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</si>
  <si>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</si>
  <si>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</si>
  <si>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</si>
  <si>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</si>
  <si>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</si>
  <si>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</si>
  <si>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</si>
  <si>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</si>
  <si>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</si>
  <si>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</si>
  <si>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</si>
  <si>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</si>
  <si>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</si>
  <si>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</si>
  <si>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</si>
  <si>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</si>
  <si>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</si>
  <si>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</si>
  <si>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</si>
  <si>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</si>
  <si>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</si>
  <si>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</si>
  <si>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</si>
  <si>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</si>
  <si>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</si>
  <si>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</si>
  <si>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</si>
  <si>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</si>
  <si>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</si>
  <si>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</si>
  <si>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</si>
  <si>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</si>
  <si>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</si>
  <si>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</si>
  <si>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</si>
  <si>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</si>
  <si>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</si>
  <si>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</si>
  <si>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</si>
  <si>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</si>
  <si>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</si>
  <si>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</si>
  <si>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</si>
  <si>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</si>
  <si>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</si>
  <si>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</si>
  <si>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</si>
  <si>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</si>
  <si>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</si>
  <si>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</si>
  <si>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</si>
  <si>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</si>
  <si>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</si>
  <si>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</si>
  <si>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</si>
  <si>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</si>
  <si>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</si>
  <si>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</si>
  <si>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</si>
  <si>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</si>
  <si>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</si>
  <si>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</si>
  <si>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</si>
  <si>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</si>
  <si>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</si>
  <si>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</si>
  <si>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</si>
  <si>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</si>
  <si>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</si>
  <si>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</si>
  <si>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</si>
  <si>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</si>
  <si>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</si>
  <si>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</si>
  <si>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</si>
  <si>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</si>
  <si>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</si>
  <si>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</si>
  <si>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</si>
  <si>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</si>
  <si>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</si>
  <si>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</si>
  <si>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</si>
  <si>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</si>
  <si>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</si>
  <si>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</si>
  <si>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</si>
  <si>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</si>
  <si>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</si>
  <si>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</si>
  <si>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</si>
  <si>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</si>
  <si>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</si>
  <si>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</si>
  <si>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</si>
  <si>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</si>
  <si>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</si>
  <si>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</si>
  <si>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</si>
  <si>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</si>
  <si>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</si>
  <si>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</si>
  <si>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</si>
  <si>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</si>
  <si>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</si>
  <si>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</si>
  <si>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</si>
  <si>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</si>
  <si>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</si>
  <si>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</si>
  <si>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</si>
  <si>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</si>
  <si>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</si>
  <si>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</si>
  <si>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</si>
  <si>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</si>
  <si>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</si>
  <si>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</si>
  <si>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</si>
  <si>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</si>
  <si>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</si>
  <si>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</si>
  <si>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</si>
  <si>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</si>
  <si>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</si>
  <si>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</si>
  <si>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</si>
  <si>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</si>
  <si>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</si>
  <si>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</si>
  <si>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</si>
  <si>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</si>
  <si>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</si>
  <si>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</si>
  <si>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</si>
  <si>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</si>
  <si>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</si>
  <si>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</si>
  <si>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</si>
  <si>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</si>
  <si>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</si>
  <si>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</si>
  <si>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</si>
  <si>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</si>
  <si>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</si>
  <si>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</si>
  <si>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</si>
  <si>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</si>
  <si>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</si>
  <si>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</si>
  <si>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</si>
  <si>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</si>
  <si>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</si>
  <si>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</si>
  <si>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</si>
  <si>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</si>
  <si>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</si>
  <si>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</si>
  <si>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</si>
  <si>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</si>
  <si>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</si>
  <si>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</si>
  <si>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</si>
  <si>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</si>
  <si>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</si>
  <si>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</si>
  <si>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</si>
  <si>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</si>
  <si>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</si>
  <si>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</si>
  <si>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</si>
  <si>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</si>
  <si>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</si>
  <si>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</si>
  <si>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</si>
  <si>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</si>
  <si>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</si>
  <si>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</si>
  <si>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</si>
  <si>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</si>
  <si>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</si>
  <si>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</si>
  <si>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</si>
  <si>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</si>
  <si>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</si>
  <si>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</si>
  <si>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</si>
  <si>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</si>
  <si>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</si>
  <si>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</si>
  <si>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</si>
  <si>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</si>
  <si>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</si>
  <si>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</si>
  <si>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</si>
  <si>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</si>
  <si>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</si>
  <si>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</si>
  <si>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</si>
  <si>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</si>
  <si>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</si>
  <si>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</si>
  <si>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</si>
  <si>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</si>
  <si>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</si>
  <si>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</si>
  <si>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</si>
  <si>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</si>
  <si>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</si>
  <si>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</si>
  <si>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</si>
  <si>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</si>
  <si>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</si>
  <si>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</si>
  <si>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</si>
  <si>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</si>
  <si>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</si>
  <si>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</si>
  <si>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</si>
  <si>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</si>
  <si>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</si>
  <si>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</si>
  <si>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</si>
  <si>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</si>
  <si>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</si>
  <si>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</si>
  <si>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</si>
  <si>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</si>
  <si>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</si>
  <si>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</si>
  <si>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</si>
  <si>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</si>
  <si>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</si>
  <si>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</si>
  <si>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</si>
  <si>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</si>
  <si>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</si>
  <si>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</si>
  <si>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</si>
  <si>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</si>
  <si>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</si>
  <si>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</si>
  <si>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</si>
  <si>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</si>
  <si>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</si>
  <si>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</si>
  <si>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</si>
  <si>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</si>
  <si>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</si>
  <si>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</si>
  <si>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</si>
  <si>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</si>
  <si>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</si>
  <si>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</si>
  <si>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</si>
  <si>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</si>
  <si>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</si>
  <si>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</si>
  <si>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</si>
  <si>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</si>
  <si>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</si>
  <si>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</si>
  <si>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</si>
  <si>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</si>
  <si>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</si>
  <si>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</si>
  <si>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</si>
  <si>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</si>
  <si>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</si>
  <si>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</si>
  <si>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</si>
  <si>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</si>
  <si>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</si>
  <si>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</si>
  <si>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</si>
  <si>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</si>
  <si>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</si>
  <si>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</si>
  <si>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</si>
  <si>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</si>
  <si>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</si>
  <si>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</si>
  <si>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</si>
  <si>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</si>
  <si>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</si>
  <si>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</si>
  <si>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</si>
  <si>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</si>
  <si>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</si>
  <si>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</si>
  <si>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</si>
  <si>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</si>
  <si>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</si>
  <si>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</si>
  <si>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</si>
  <si>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</si>
  <si>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</si>
  <si>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</si>
  <si>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</si>
  <si>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</si>
  <si>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</si>
  <si>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</si>
  <si>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</si>
  <si>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</si>
  <si>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</si>
  <si>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</si>
  <si>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</si>
  <si>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</si>
  <si>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</si>
  <si>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</si>
  <si>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</si>
  <si>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</si>
  <si>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</si>
  <si>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</si>
  <si>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</si>
  <si>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</si>
  <si>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</si>
  <si>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</si>
  <si>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</si>
  <si>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</si>
  <si>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</si>
  <si>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</si>
  <si>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</si>
  <si>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</si>
  <si>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</si>
  <si>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</si>
  <si>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</si>
  <si>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</si>
  <si>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</si>
  <si>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</si>
  <si>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</si>
  <si>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</si>
  <si>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</si>
  <si>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</si>
  <si>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</si>
  <si>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</si>
  <si>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</si>
  <si>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</si>
  <si>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</si>
  <si>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</si>
  <si>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</si>
  <si>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</si>
  <si>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</si>
  <si>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</si>
  <si>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</si>
  <si>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</si>
  <si>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</si>
  <si>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</si>
  <si>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</si>
  <si>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</si>
  <si>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</si>
  <si>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</si>
  <si>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</si>
  <si>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</si>
  <si>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</si>
  <si>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</si>
  <si>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</si>
  <si>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</si>
  <si>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</si>
  <si>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</si>
  <si>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</si>
  <si>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</si>
  <si>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</si>
  <si>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</si>
  <si>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</si>
  <si>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</si>
  <si>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</si>
  <si>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</si>
  <si>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</si>
  <si>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</si>
  <si>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</si>
  <si>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</si>
  <si>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</si>
  <si>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</si>
  <si>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</si>
  <si>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</si>
  <si>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</si>
  <si>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</si>
  <si>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</si>
  <si>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</si>
  <si>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</si>
  <si>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</si>
  <si>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</si>
  <si>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</si>
  <si>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</si>
  <si>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</si>
  <si>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</si>
  <si>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</si>
  <si>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</si>
  <si>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</si>
  <si>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</si>
  <si>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</si>
  <si>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</si>
  <si>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</si>
  <si>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</si>
  <si>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</si>
  <si>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</si>
  <si>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</si>
  <si>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</si>
  <si>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</si>
  <si>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</si>
  <si>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</si>
  <si>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</si>
  <si>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</si>
  <si>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</si>
  <si>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</si>
  <si>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</si>
  <si>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</si>
  <si>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</si>
  <si>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</si>
  <si>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</si>
  <si>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</si>
  <si>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</si>
  <si>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</si>
  <si>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</si>
  <si>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</si>
  <si>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</si>
  <si>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</si>
  <si>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</si>
  <si>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</si>
  <si>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</si>
  <si>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</si>
  <si>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</si>
  <si>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</si>
  <si>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</si>
  <si>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</si>
  <si>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</si>
  <si>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</si>
  <si>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</si>
  <si>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</si>
  <si>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</si>
  <si>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</si>
  <si>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</si>
  <si>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</si>
  <si>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</si>
  <si>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</si>
  <si>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</si>
  <si>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</si>
  <si>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</si>
  <si>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</si>
  <si>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</si>
  <si>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</si>
  <si>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</si>
  <si>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</si>
  <si>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</si>
  <si>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</si>
  <si>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</si>
  <si>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</si>
  <si>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</si>
  <si>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</si>
  <si>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</si>
  <si>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</si>
  <si>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</si>
  <si>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</si>
  <si>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</si>
  <si>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</si>
  <si>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</si>
  <si>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</si>
  <si>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</si>
  <si>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</si>
  <si>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</si>
  <si>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</si>
  <si>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</si>
  <si>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</si>
  <si>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</si>
  <si>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</si>
  <si>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</si>
  <si>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</si>
  <si>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</si>
  <si>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</si>
  <si>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</si>
  <si>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</si>
  <si>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</si>
  <si>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</si>
  <si>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</si>
  <si>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</si>
  <si>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</si>
  <si>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</si>
  <si>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</si>
  <si>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</si>
  <si>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</si>
  <si>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</si>
  <si>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</si>
  <si>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</si>
  <si>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</si>
  <si>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</si>
  <si>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</si>
  <si>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</si>
  <si>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</si>
  <si>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</si>
  <si>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</si>
  <si>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</si>
  <si>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</si>
  <si>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</si>
  <si>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</si>
  <si>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</si>
  <si>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</si>
  <si>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</si>
  <si>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</si>
  <si>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</si>
  <si>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</si>
  <si>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</si>
  <si>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</si>
  <si>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</si>
  <si>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</si>
  <si>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</si>
  <si>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</si>
  <si>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</si>
  <si>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</si>
  <si>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</si>
  <si>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</si>
  <si>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</si>
  <si>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</si>
  <si>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</si>
  <si>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</si>
  <si>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</si>
  <si>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</si>
  <si>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</si>
  <si>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</si>
  <si>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</si>
  <si>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</si>
  <si>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</si>
  <si>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</si>
  <si>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</si>
  <si>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</si>
  <si>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</si>
  <si>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</si>
  <si>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</si>
  <si>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</si>
  <si>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</si>
  <si>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</si>
  <si>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</si>
  <si>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</si>
  <si>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</si>
  <si>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</si>
  <si>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</si>
  <si>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</si>
  <si>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</si>
  <si>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</si>
  <si>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</si>
  <si>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</si>
  <si>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</si>
  <si>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</si>
  <si>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</si>
  <si>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</si>
  <si>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</si>
  <si>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</si>
  <si>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</si>
  <si>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</si>
  <si>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</si>
  <si>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</si>
  <si>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</si>
  <si>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</si>
  <si>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</si>
  <si>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</si>
  <si>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</si>
  <si>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</si>
  <si>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</si>
  <si>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</si>
  <si>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</si>
  <si>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</si>
  <si>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</si>
  <si>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</si>
  <si>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</si>
  <si>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</si>
  <si>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</si>
  <si>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</si>
  <si>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</si>
  <si>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</si>
  <si>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</si>
  <si>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</si>
  <si>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</si>
  <si>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</si>
  <si>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</si>
  <si>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</si>
  <si>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</si>
  <si>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</si>
  <si>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</si>
  <si>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</si>
  <si>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</si>
  <si>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</si>
  <si>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</si>
  <si>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</si>
  <si>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</si>
  <si>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</si>
  <si>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</si>
  <si>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</si>
  <si>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</si>
  <si>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</si>
  <si>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</si>
  <si>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</si>
  <si>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</si>
  <si>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</si>
  <si>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</si>
  <si>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</si>
  <si>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</si>
  <si>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</si>
  <si>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</si>
  <si>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</si>
  <si>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</si>
  <si>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</si>
  <si>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</si>
  <si>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</si>
  <si>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</si>
  <si>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</si>
  <si>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</si>
  <si>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</si>
  <si>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</si>
  <si>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</si>
  <si>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</si>
  <si>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</si>
  <si>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</si>
  <si>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</si>
  <si>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</si>
  <si>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</si>
  <si>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</si>
  <si>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</si>
  <si>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</si>
  <si>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</si>
  <si>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</si>
  <si>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</si>
  <si>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</si>
  <si>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</si>
  <si>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</si>
  <si>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</si>
  <si>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</si>
  <si>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</si>
  <si>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</si>
  <si>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</si>
  <si>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</si>
  <si>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</si>
  <si>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</si>
  <si>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</si>
  <si>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</si>
  <si>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</si>
  <si>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</si>
  <si>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</si>
  <si>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</si>
  <si>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</si>
  <si>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</si>
  <si>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</si>
  <si>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</si>
  <si>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</si>
  <si>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</si>
  <si>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</si>
  <si>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</si>
  <si>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</si>
  <si>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</si>
  <si>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</si>
  <si>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</si>
  <si>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</si>
  <si>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</si>
  <si>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</si>
  <si>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</si>
  <si>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</si>
  <si>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</si>
  <si>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</si>
  <si>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</si>
  <si>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</si>
  <si>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</si>
  <si>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</si>
  <si>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</si>
  <si>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</si>
  <si>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</si>
  <si>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</si>
  <si>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</si>
  <si>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</si>
  <si>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</si>
  <si>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</si>
  <si>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</si>
  <si>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</si>
  <si>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</si>
  <si>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</si>
  <si>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</si>
  <si>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</si>
  <si>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</si>
  <si>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</si>
  <si>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</si>
  <si>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</si>
  <si>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</si>
  <si>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</si>
  <si>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</si>
  <si>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</si>
  <si>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</si>
  <si>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</si>
  <si>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</si>
  <si>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</si>
  <si>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</si>
  <si>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</si>
  <si>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</si>
  <si>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</si>
  <si>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</si>
  <si>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</si>
  <si>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</si>
  <si>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</si>
  <si>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</si>
  <si>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</si>
  <si>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</si>
  <si>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</si>
  <si>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</si>
  <si>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</si>
  <si>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</si>
  <si>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</si>
  <si>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</si>
  <si>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</si>
  <si>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</si>
  <si>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</si>
  <si>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</si>
  <si>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</si>
  <si>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</si>
  <si>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</si>
  <si>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</si>
  <si>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</si>
  <si>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</si>
  <si>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</si>
  <si>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</si>
  <si>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</si>
  <si>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</si>
  <si>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</si>
  <si>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</si>
  <si>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</si>
  <si>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</si>
  <si>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</si>
  <si>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</si>
  <si>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</si>
  <si>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</si>
  <si>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</si>
  <si>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</si>
  <si>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</si>
  <si>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</si>
  <si>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</si>
  <si>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</si>
  <si>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</si>
  <si>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</si>
  <si>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</si>
  <si>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</si>
  <si>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</si>
  <si>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</si>
  <si>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</si>
  <si>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</si>
  <si>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</si>
  <si>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</si>
  <si>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</si>
  <si>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</si>
  <si>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</si>
  <si>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</si>
  <si>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</si>
  <si>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</si>
  <si>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</si>
  <si>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</si>
  <si>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</si>
  <si>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</si>
  <si>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</si>
  <si>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</si>
  <si>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</si>
  <si>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</si>
  <si>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</si>
  <si>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</si>
  <si>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</si>
  <si>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</si>
  <si>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</si>
  <si>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</si>
  <si>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</si>
  <si>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</si>
  <si>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</si>
  <si>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</si>
  <si>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</si>
  <si>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</si>
  <si>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</si>
  <si>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</si>
  <si>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</si>
  <si>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</si>
  <si>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</si>
  <si>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</si>
  <si>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</si>
  <si>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</si>
  <si>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</si>
  <si>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</si>
  <si>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</si>
  <si>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</si>
  <si>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</si>
  <si>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</si>
  <si>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</si>
  <si>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</si>
  <si>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</si>
  <si>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</si>
  <si>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</si>
  <si>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</si>
  <si>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</si>
  <si>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</si>
  <si>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</si>
  <si>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</si>
  <si>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</si>
  <si>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</si>
  <si>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</si>
  <si>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</si>
  <si>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</si>
  <si>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</si>
  <si>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</si>
  <si>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</si>
  <si>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</si>
  <si>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</si>
  <si>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</si>
  <si>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</si>
  <si>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0.00000191</t>
  </si>
  <si>
    <t>Book Value ETH</t>
  </si>
  <si>
    <t>Total BV ETH</t>
  </si>
  <si>
    <t>Where</t>
  </si>
  <si>
    <t>Questrade</t>
  </si>
  <si>
    <t>BV</t>
  </si>
  <si>
    <t>MV</t>
  </si>
  <si>
    <t>CIBC</t>
  </si>
  <si>
    <t>100 IOTA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</si>
  <si>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</si>
  <si>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</si>
  <si>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</si>
  <si>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</si>
  <si>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</si>
  <si>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</si>
  <si>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</si>
  <si>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</si>
  <si>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</si>
  <si>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</si>
  <si>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104712011.0</t>
  </si>
  <si>
    <t>-0.07</t>
  </si>
  <si>
    <t>18446748239.0</t>
  </si>
  <si>
    <t>-0.53</t>
  </si>
  <si>
    <t>0.00000400</t>
  </si>
  <si>
    <t>-1.0</t>
  </si>
  <si>
    <t>0.14</t>
  </si>
  <si>
    <t>-0.19</t>
  </si>
  <si>
    <t>0.1</t>
  </si>
  <si>
    <t>Coinsquare</t>
  </si>
  <si>
    <t>0.61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</si>
  <si>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</si>
  <si>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</si>
  <si>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</si>
  <si>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</si>
  <si>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</si>
  <si>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</si>
  <si>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</si>
  <si>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</si>
  <si>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</si>
  <si>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</si>
  <si>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</si>
  <si>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</si>
  <si>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</si>
  <si>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</si>
  <si>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</si>
  <si>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</si>
  <si>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</si>
  <si>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</si>
  <si>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</si>
  <si>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</si>
  <si>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</si>
  <si>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</si>
  <si>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</si>
  <si>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</si>
  <si>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</si>
  <si>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</si>
  <si>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</si>
  <si>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</si>
  <si>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</si>
  <si>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</si>
  <si>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</si>
  <si>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</si>
  <si>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</si>
  <si>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</si>
  <si>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</si>
  <si>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</si>
  <si>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</si>
  <si>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</si>
  <si>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</si>
  <si>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</si>
  <si>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</si>
  <si>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</si>
  <si>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</si>
  <si>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0.12</t>
  </si>
  <si>
    <t>0.21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</si>
  <si>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</si>
  <si>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</si>
  <si>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</si>
  <si>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</si>
  <si>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</si>
  <si>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</si>
  <si>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</si>
  <si>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</si>
  <si>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</si>
  <si>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</si>
  <si>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0.07</t>
  </si>
  <si>
    <t>0.15</t>
  </si>
  <si>
    <t>-0.14</t>
  </si>
  <si>
    <t>0.52</t>
  </si>
  <si>
    <t>0.2</t>
  </si>
  <si>
    <t>0.26</t>
  </si>
  <si>
    <t>0.13</t>
  </si>
  <si>
    <t>-0.64</t>
  </si>
  <si>
    <t>375000000.0</t>
  </si>
  <si>
    <t>1.03</t>
  </si>
  <si>
    <t>23870835.0</t>
  </si>
  <si>
    <t>196766.0</t>
  </si>
  <si>
    <t>170196766.0</t>
  </si>
  <si>
    <t>13379987.0</t>
  </si>
  <si>
    <t>1627261.0</t>
  </si>
  <si>
    <t>2007.0</t>
  </si>
  <si>
    <t>2507.0</t>
  </si>
  <si>
    <t>303095254787</t>
  </si>
  <si>
    <t>2242500.0</t>
  </si>
  <si>
    <t>486609040.0</t>
  </si>
  <si>
    <t>Kayicoin</t>
  </si>
  <si>
    <t>KAYI</t>
  </si>
  <si>
    <t>0.08</t>
  </si>
  <si>
    <t>chainlink</t>
  </si>
  <si>
    <t>ChainLink</t>
  </si>
  <si>
    <t>LINK</t>
  </si>
  <si>
    <t>350000000.0</t>
  </si>
  <si>
    <t>0.49</t>
  </si>
  <si>
    <t>blackmoon-crypto</t>
  </si>
  <si>
    <t>Blackmoon Crypto</t>
  </si>
  <si>
    <t>BMC</t>
  </si>
  <si>
    <t>30049251.0</t>
  </si>
  <si>
    <t>60000000.0</t>
  </si>
  <si>
    <t>25000000000.0</t>
  </si>
  <si>
    <t>0.47</t>
  </si>
  <si>
    <t>425000000.0</t>
  </si>
  <si>
    <t>0.000000010</t>
  </si>
  <si>
    <t>-0.09</t>
  </si>
  <si>
    <t>0.00000065</t>
  </si>
  <si>
    <t>0.39</t>
  </si>
  <si>
    <t>-0.15</t>
  </si>
  <si>
    <t>0.62</t>
  </si>
  <si>
    <t>granitecoin</t>
  </si>
  <si>
    <t>Granite</t>
  </si>
  <si>
    <t>GRN</t>
  </si>
  <si>
    <t>Price</t>
  </si>
  <si>
    <t>8157653.0</t>
  </si>
  <si>
    <t>32105578.0</t>
  </si>
  <si>
    <t>0.8</t>
  </si>
  <si>
    <t>-0.11</t>
  </si>
  <si>
    <t>-0.71</t>
  </si>
  <si>
    <t>-0.04</t>
  </si>
  <si>
    <t>46500000.0</t>
  </si>
  <si>
    <t>2777600756.0</t>
  </si>
  <si>
    <t>0.00000039</t>
  </si>
  <si>
    <t>kexcoin</t>
  </si>
  <si>
    <t>KexCoin</t>
  </si>
  <si>
    <t>KEXCOIN</t>
  </si>
  <si>
    <t>21255800.0</t>
  </si>
  <si>
    <t>-0.35</t>
  </si>
  <si>
    <t>0.72</t>
  </si>
  <si>
    <t>0.37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</si>
  <si>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</si>
  <si>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</si>
  <si>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</si>
  <si>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</si>
  <si>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</si>
  <si>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</si>
  <si>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</si>
  <si>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-0.16</t>
  </si>
  <si>
    <t>10200000.0</t>
  </si>
  <si>
    <t>0.46</t>
  </si>
  <si>
    <t>553739214.0</t>
  </si>
  <si>
    <t>substratum</t>
  </si>
  <si>
    <t>Substratum</t>
  </si>
  <si>
    <t>SUB</t>
  </si>
  <si>
    <t>-1.17</t>
  </si>
  <si>
    <t>-0.02</t>
  </si>
  <si>
    <t>1816107.0</t>
  </si>
  <si>
    <t>1837958.0</t>
  </si>
  <si>
    <t>107972766.0</t>
  </si>
  <si>
    <t>140080549.0</t>
  </si>
  <si>
    <t>4.74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</si>
  <si>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</si>
  <si>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</si>
  <si>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</si>
  <si>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</si>
  <si>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</si>
  <si>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</si>
  <si>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</si>
  <si>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</si>
  <si>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</si>
  <si>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</si>
  <si>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</si>
  <si>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</si>
  <si>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</si>
  <si>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</si>
  <si>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</si>
  <si>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</si>
  <si>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</si>
  <si>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</si>
  <si>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</si>
  <si>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</si>
  <si>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</si>
  <si>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</si>
  <si>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</si>
  <si>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</si>
  <si>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0.00000278</t>
  </si>
  <si>
    <t>1114</t>
  </si>
  <si>
    <t>1115</t>
  </si>
  <si>
    <t>1116</t>
  </si>
  <si>
    <t>1117</t>
  </si>
  <si>
    <t>1118</t>
  </si>
  <si>
    <t>1119</t>
  </si>
  <si>
    <t>1120</t>
  </si>
  <si>
    <t>1121</t>
  </si>
  <si>
    <t>0.00000399</t>
  </si>
  <si>
    <t>0.00000974</t>
  </si>
  <si>
    <t>1.45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</si>
  <si>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</si>
  <si>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</si>
  <si>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</si>
  <si>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</si>
  <si>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</si>
  <si>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</si>
  <si>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</si>
  <si>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</si>
  <si>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</si>
  <si>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</si>
  <si>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</si>
  <si>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</si>
  <si>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</si>
  <si>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</si>
  <si>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</si>
  <si>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</si>
  <si>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</si>
  <si>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</si>
  <si>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</si>
  <si>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</si>
  <si>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</si>
  <si>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</si>
  <si>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</si>
  <si>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</si>
  <si>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</si>
  <si>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</si>
  <si>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</si>
  <si>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</si>
  <si>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</si>
  <si>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</si>
  <si>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</si>
  <si>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0.53</t>
  </si>
  <si>
    <t>-0.18</t>
  </si>
  <si>
    <t>86740810.0</t>
  </si>
  <si>
    <t>-0.1</t>
  </si>
  <si>
    <t>2516334.0</t>
  </si>
  <si>
    <t>1500000.0</t>
  </si>
  <si>
    <t>-0.56</t>
  </si>
  <si>
    <t>8820.0</t>
  </si>
  <si>
    <t>0.00000041</t>
  </si>
  <si>
    <t>rivetz</t>
  </si>
  <si>
    <t>Rivetz</t>
  </si>
  <si>
    <t>RVT</t>
  </si>
  <si>
    <t>0.00000269</t>
  </si>
  <si>
    <t>-1.04</t>
  </si>
  <si>
    <t>-0.55</t>
  </si>
  <si>
    <t>0.23</t>
  </si>
  <si>
    <t>-0.3</t>
  </si>
  <si>
    <t>56230895.0</t>
  </si>
  <si>
    <t>3808454.0</t>
  </si>
  <si>
    <t>0.55</t>
  </si>
  <si>
    <t>10614760961.0</t>
  </si>
  <si>
    <t>62759702.0</t>
  </si>
  <si>
    <t>0.00000069</t>
  </si>
  <si>
    <t>0.00000218</t>
  </si>
  <si>
    <t>0.00000051</t>
  </si>
  <si>
    <t>-1.16</t>
  </si>
  <si>
    <t>-0.86</t>
  </si>
  <si>
    <t>Column1</t>
  </si>
  <si>
    <t>Column2</t>
  </si>
  <si>
    <t>ICX</t>
  </si>
  <si>
    <t>0.51</t>
  </si>
  <si>
    <t>cardano</t>
  </si>
  <si>
    <t>Cardano</t>
  </si>
  <si>
    <t>ADA</t>
  </si>
  <si>
    <t>437061572.0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</si>
  <si>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</si>
  <si>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</si>
  <si>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</si>
  <si>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</si>
  <si>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</si>
  <si>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</si>
  <si>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</si>
  <si>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</si>
  <si>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</si>
  <si>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</si>
  <si>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</si>
  <si>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</si>
  <si>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</si>
  <si>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</si>
  <si>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regalcoin</t>
  </si>
  <si>
    <t>Regalcoin</t>
  </si>
  <si>
    <t>REC</t>
  </si>
  <si>
    <t>2810000.0</t>
  </si>
  <si>
    <t>286170756.0</t>
  </si>
  <si>
    <t>1.01</t>
  </si>
  <si>
    <t>79522355.0</t>
  </si>
  <si>
    <t>244430402.0</t>
  </si>
  <si>
    <t>obsidian</t>
  </si>
  <si>
    <t>Obsidian</t>
  </si>
  <si>
    <t>ODN</t>
  </si>
  <si>
    <t>24400000.0</t>
  </si>
  <si>
    <t>762398445.0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</si>
  <si>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</si>
  <si>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</si>
  <si>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</si>
  <si>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</si>
  <si>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</si>
  <si>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</si>
  <si>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</si>
  <si>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</si>
  <si>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</si>
  <si>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5063779.0</t>
  </si>
  <si>
    <t>27432814.0</t>
  </si>
  <si>
    <t>0.000000002</t>
  </si>
  <si>
    <t>trezarcoin</t>
  </si>
  <si>
    <t>TrezarCoin</t>
  </si>
  <si>
    <t>TZC</t>
  </si>
  <si>
    <t>11639704.0</t>
  </si>
  <si>
    <t>10120417.0</t>
  </si>
  <si>
    <t>10121140.0</t>
  </si>
  <si>
    <t>interzone</t>
  </si>
  <si>
    <t>Interzone</t>
  </si>
  <si>
    <t>ITZ</t>
  </si>
  <si>
    <t>2361470.0</t>
  </si>
  <si>
    <t>173532.0</t>
  </si>
  <si>
    <t>2560000000.0</t>
  </si>
  <si>
    <t>0.142395</t>
  </si>
  <si>
    <t>0.00003221</t>
  </si>
  <si>
    <t>1506905959</t>
  </si>
  <si>
    <t>0.00937655</t>
  </si>
  <si>
    <t>1506849264</t>
  </si>
  <si>
    <t>0.00023044</t>
  </si>
  <si>
    <t>5445431.0</t>
  </si>
  <si>
    <t>0.00000175</t>
  </si>
  <si>
    <t>0.00000066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</si>
  <si>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</si>
  <si>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</si>
  <si>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</si>
  <si>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</si>
  <si>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</si>
  <si>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</si>
  <si>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</si>
  <si>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</si>
  <si>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</si>
  <si>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</si>
  <si>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</si>
  <si>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</si>
  <si>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</si>
  <si>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</si>
  <si>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</si>
  <si>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</si>
  <si>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</si>
  <si>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</si>
  <si>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</si>
  <si>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</si>
  <si>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</si>
  <si>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</si>
  <si>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</si>
  <si>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</si>
  <si>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</si>
  <si>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</si>
  <si>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</si>
  <si>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</si>
  <si>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</si>
  <si>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kayicoin</t>
  </si>
  <si>
    <t>smart-investment-fund-token</t>
  </si>
  <si>
    <t>Smart Investment Fund Token</t>
  </si>
  <si>
    <t>SIFT</t>
  </si>
  <si>
    <t>5011289.0</t>
  </si>
  <si>
    <t>-0.08</t>
  </si>
  <si>
    <t>0.00000057</t>
  </si>
  <si>
    <t>0.00001550</t>
  </si>
  <si>
    <t>0.00000150</t>
  </si>
  <si>
    <t>190.077</t>
  </si>
  <si>
    <t>0.0430007</t>
  </si>
  <si>
    <t>1506952145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</si>
  <si>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</si>
  <si>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</si>
  <si>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</si>
  <si>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</si>
  <si>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</si>
  <si>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</si>
  <si>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</si>
  <si>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</si>
  <si>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</si>
  <si>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</si>
  <si>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</si>
  <si>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</si>
  <si>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</si>
  <si>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</si>
  <si>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</si>
  <si>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</si>
  <si>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</si>
  <si>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</si>
  <si>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</si>
  <si>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</si>
  <si>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</si>
  <si>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</si>
  <si>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</si>
  <si>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</si>
  <si>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</si>
  <si>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</si>
  <si>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0.44</t>
  </si>
  <si>
    <t>-0.28</t>
  </si>
  <si>
    <t>0.73</t>
  </si>
  <si>
    <t>-0.41</t>
  </si>
  <si>
    <t>0.00004500</t>
  </si>
  <si>
    <t>-1.12</t>
  </si>
  <si>
    <t>-0.37</t>
  </si>
  <si>
    <t>-1.57</t>
  </si>
  <si>
    <t>-0.8</t>
  </si>
  <si>
    <t>1.84</t>
  </si>
  <si>
    <t>0.65</t>
  </si>
  <si>
    <t>0.00000207</t>
  </si>
  <si>
    <t>0.00000114</t>
  </si>
  <si>
    <t>0.24</t>
  </si>
  <si>
    <t>1.59</t>
  </si>
  <si>
    <t>0.00001000</t>
  </si>
  <si>
    <t>voisecom</t>
  </si>
  <si>
    <t>Voise</t>
  </si>
  <si>
    <t>VOISE</t>
  </si>
  <si>
    <t>0.000000008</t>
  </si>
  <si>
    <t>22506900067.0</t>
  </si>
  <si>
    <t>0.00000240</t>
  </si>
  <si>
    <t>0.00000042</t>
  </si>
  <si>
    <t>0.00000301</t>
  </si>
  <si>
    <t>0.33</t>
  </si>
  <si>
    <t>0.19</t>
  </si>
  <si>
    <t>0.11</t>
  </si>
  <si>
    <t>-1.08</t>
  </si>
  <si>
    <t>0.01</t>
  </si>
  <si>
    <t>-0.31</t>
  </si>
  <si>
    <t>-0.44</t>
  </si>
  <si>
    <t>-1.38</t>
  </si>
  <si>
    <t>0.41</t>
  </si>
  <si>
    <t>0.00000580</t>
  </si>
  <si>
    <t>0.04</t>
  </si>
  <si>
    <t>30346591.0</t>
  </si>
  <si>
    <t>0.77</t>
  </si>
  <si>
    <t>-0.85</t>
  </si>
  <si>
    <t>infinity-economics</t>
  </si>
  <si>
    <t>Infinity Economics</t>
  </si>
  <si>
    <t>XIN</t>
  </si>
  <si>
    <t>0.00000120</t>
  </si>
  <si>
    <t>1.56</t>
  </si>
  <si>
    <t>0.75</t>
  </si>
  <si>
    <t>103314101453</t>
  </si>
  <si>
    <t>ebtc</t>
  </si>
  <si>
    <t>eBTC</t>
  </si>
  <si>
    <t>EBTC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</si>
  <si>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</si>
  <si>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</si>
  <si>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</si>
  <si>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</si>
  <si>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</si>
  <si>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</si>
  <si>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</si>
  <si>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</si>
  <si>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</si>
  <si>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</si>
  <si>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</si>
  <si>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</si>
  <si>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</si>
  <si>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</si>
  <si>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</si>
  <si>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</si>
  <si>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</si>
  <si>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</si>
  <si>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</si>
  <si>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</si>
  <si>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</si>
  <si>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</si>
  <si>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</si>
  <si>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</si>
  <si>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</si>
  <si>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</si>
  <si>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</si>
  <si>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</si>
  <si>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</si>
  <si>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</si>
  <si>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</si>
  <si>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</si>
  <si>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</si>
  <si>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</si>
  <si>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</si>
  <si>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</si>
  <si>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</si>
  <si>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</si>
  <si>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</si>
  <si>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</si>
  <si>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</si>
  <si>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</si>
  <si>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</si>
  <si>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</si>
  <si>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</si>
  <si>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</si>
  <si>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</si>
  <si>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</si>
  <si>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</si>
  <si>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</si>
  <si>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</si>
  <si>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</si>
  <si>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</si>
  <si>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</si>
  <si>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</si>
  <si>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</si>
  <si>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</si>
  <si>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</si>
  <si>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</si>
  <si>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</si>
  <si>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</si>
  <si>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</si>
  <si>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</si>
  <si>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</si>
  <si>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</si>
  <si>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</si>
  <si>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1542175.0</t>
  </si>
  <si>
    <t>-0.48</t>
  </si>
  <si>
    <t>25927070538.0</t>
  </si>
  <si>
    <t>31112483745.0</t>
  </si>
  <si>
    <t>-2.06</t>
  </si>
  <si>
    <t>-1.1</t>
  </si>
  <si>
    <t>32948091.0</t>
  </si>
  <si>
    <t>-0.13</t>
  </si>
  <si>
    <t>-0.32</t>
  </si>
  <si>
    <t>-0.75</t>
  </si>
  <si>
    <t>0.29</t>
  </si>
  <si>
    <t>-0.49</t>
  </si>
  <si>
    <t>-2.18</t>
  </si>
  <si>
    <t>-1.64</t>
  </si>
  <si>
    <t>0.00000060</t>
  </si>
  <si>
    <t>-1.49</t>
  </si>
  <si>
    <t>96601.0</t>
  </si>
  <si>
    <t>54096601.0</t>
  </si>
  <si>
    <t>0.00000109</t>
  </si>
  <si>
    <t>1.42</t>
  </si>
  <si>
    <t>0.00000173</t>
  </si>
  <si>
    <t>0.00000091</t>
  </si>
  <si>
    <t>0.000217307</t>
  </si>
  <si>
    <t>1507042146</t>
  </si>
  <si>
    <t>-2.34</t>
  </si>
  <si>
    <t>0.00000135</t>
  </si>
  <si>
    <t>0.00000086</t>
  </si>
  <si>
    <t>0.000171692</t>
  </si>
  <si>
    <t>1507043651</t>
  </si>
  <si>
    <t>0.19399</t>
  </si>
  <si>
    <t>1507014255</t>
  </si>
  <si>
    <t>0.00000650</t>
  </si>
  <si>
    <t>99990000.0</t>
  </si>
  <si>
    <t>20128423.0</t>
  </si>
  <si>
    <t>-0.4</t>
  </si>
  <si>
    <t>-0.01</t>
  </si>
  <si>
    <t>-1.06</t>
  </si>
  <si>
    <t>-1.73</t>
  </si>
  <si>
    <t>0.0000431067</t>
  </si>
  <si>
    <t>1507046962</t>
  </si>
  <si>
    <t>0.00000115</t>
  </si>
  <si>
    <t>0.00000491</t>
  </si>
  <si>
    <t>1507050849</t>
  </si>
  <si>
    <t>0.0000427916</t>
  </si>
  <si>
    <t>Bought ARK</t>
  </si>
  <si>
    <t>Deposit</t>
  </si>
  <si>
    <t>BTC-ETH</t>
  </si>
  <si>
    <t>Week 1 Goal</t>
  </si>
  <si>
    <t>-0.17</t>
  </si>
  <si>
    <t>-0.39</t>
  </si>
  <si>
    <t>0.09</t>
  </si>
  <si>
    <t>0.06</t>
  </si>
  <si>
    <t>2.16</t>
  </si>
  <si>
    <t>0.84</t>
  </si>
  <si>
    <t>359600000.0</t>
  </si>
  <si>
    <t>71491027.0</t>
  </si>
  <si>
    <t>0.96</t>
  </si>
  <si>
    <t>0.42</t>
  </si>
  <si>
    <t>2229310.0</t>
  </si>
  <si>
    <t>0.00000050</t>
  </si>
  <si>
    <t>2.05</t>
  </si>
  <si>
    <t>0.38</t>
  </si>
  <si>
    <t>0.25</t>
  </si>
  <si>
    <t>1.06</t>
  </si>
  <si>
    <t>0.95</t>
  </si>
  <si>
    <t>21380350.0</t>
  </si>
  <si>
    <t>0.00000227</t>
  </si>
  <si>
    <t>1.58</t>
  </si>
  <si>
    <t>0.74</t>
  </si>
  <si>
    <t>-3.97</t>
  </si>
  <si>
    <t>0.00000119</t>
  </si>
  <si>
    <t>5463887.0</t>
  </si>
  <si>
    <t>49971340.0</t>
  </si>
  <si>
    <t>0.00000095</t>
  </si>
  <si>
    <t>0.00000079</t>
  </si>
  <si>
    <t>-3.08</t>
  </si>
  <si>
    <t>0.00384673</t>
  </si>
  <si>
    <t>1507121059</t>
  </si>
  <si>
    <t>0.0244215</t>
  </si>
  <si>
    <t>1507121943</t>
  </si>
  <si>
    <t>0.000857939</t>
  </si>
  <si>
    <t>1507052047</t>
  </si>
  <si>
    <t>0.59</t>
  </si>
  <si>
    <t>0.00422647</t>
  </si>
  <si>
    <t>1507121348</t>
  </si>
  <si>
    <t>2622163.0</t>
  </si>
  <si>
    <t>0.00798198</t>
  </si>
  <si>
    <t>0.00000189</t>
  </si>
  <si>
    <t>1507113256</t>
  </si>
  <si>
    <t>0.00000054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</si>
  <si>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</si>
  <si>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</si>
  <si>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</si>
  <si>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</si>
  <si>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</si>
  <si>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</si>
  <si>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</si>
  <si>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0.000126239</t>
  </si>
  <si>
    <t>1507123157</t>
  </si>
  <si>
    <t>0.0275796</t>
  </si>
  <si>
    <t>1507114446</t>
  </si>
  <si>
    <t>0.89</t>
  </si>
  <si>
    <t>1.67</t>
  </si>
  <si>
    <t>0.71</t>
  </si>
  <si>
    <t>0.00000049</t>
  </si>
  <si>
    <t>-2.03</t>
  </si>
  <si>
    <t>3.14</t>
  </si>
  <si>
    <t>0.00000180</t>
  </si>
  <si>
    <t>0.00000267</t>
  </si>
  <si>
    <t>0.00000160</t>
  </si>
  <si>
    <t>0.00000102</t>
  </si>
  <si>
    <t>0.00000536</t>
  </si>
  <si>
    <t>0.00000426</t>
  </si>
  <si>
    <t>kickico</t>
  </si>
  <si>
    <t>KICK</t>
  </si>
  <si>
    <t>KickCoin</t>
  </si>
  <si>
    <t>1507137246</t>
  </si>
  <si>
    <t>0.0207034</t>
  </si>
  <si>
    <t>EncryptoTel [WAVES]</t>
  </si>
  <si>
    <t>0.0000000009</t>
  </si>
  <si>
    <t>3630790.0</t>
  </si>
  <si>
    <t>9985510.0</t>
  </si>
  <si>
    <t>0.169</t>
  </si>
  <si>
    <t>54675000.0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</si>
  <si>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</si>
  <si>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</si>
  <si>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</si>
  <si>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</si>
  <si>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</si>
  <si>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</si>
  <si>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</si>
  <si>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</si>
  <si>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-0.62</t>
  </si>
  <si>
    <t>-0.22</t>
  </si>
  <si>
    <t>1.51</t>
  </si>
  <si>
    <t>2.14</t>
  </si>
  <si>
    <t>1248965.0</t>
  </si>
  <si>
    <t>2248965.0</t>
  </si>
  <si>
    <t>-0.05</t>
  </si>
  <si>
    <t>0.4</t>
  </si>
  <si>
    <t>-6.17</t>
  </si>
  <si>
    <t>-0.77</t>
  </si>
  <si>
    <t>1.87</t>
  </si>
  <si>
    <t>0.64</t>
  </si>
  <si>
    <t>-1.23</t>
  </si>
  <si>
    <t>0.0226236</t>
  </si>
  <si>
    <t>1507153762</t>
  </si>
  <si>
    <t>1.16</t>
  </si>
  <si>
    <t>-2.26</t>
  </si>
  <si>
    <t>0.000000000009</t>
  </si>
  <si>
    <t>-5.04</t>
  </si>
  <si>
    <t xml:space="preserve"> </t>
  </si>
  <si>
    <t>-4.35</t>
  </si>
  <si>
    <t>3.42</t>
  </si>
  <si>
    <t>-2.58</t>
  </si>
  <si>
    <t>0.00000270</t>
  </si>
  <si>
    <t>-2.81</t>
  </si>
  <si>
    <t>2.45</t>
  </si>
  <si>
    <t>-1.43</t>
  </si>
  <si>
    <t>-4.54</t>
  </si>
  <si>
    <t>1.69</t>
  </si>
  <si>
    <t>-2.11</t>
  </si>
  <si>
    <t>0.00000111</t>
  </si>
  <si>
    <t>-2.94</t>
  </si>
  <si>
    <t>-1.28</t>
  </si>
  <si>
    <t>Book Value USD</t>
  </si>
  <si>
    <t>0.0000000007</t>
  </si>
  <si>
    <t>-0.2</t>
  </si>
  <si>
    <t>-0.72</t>
  </si>
  <si>
    <t>-1.44</t>
  </si>
  <si>
    <t>-0.97</t>
  </si>
  <si>
    <t>1.3</t>
  </si>
  <si>
    <t>1.78</t>
  </si>
  <si>
    <t>2016034.0</t>
  </si>
  <si>
    <t>-5.89</t>
  </si>
  <si>
    <t>268763241.0</t>
  </si>
  <si>
    <t>156209812.0</t>
  </si>
  <si>
    <t>19628888.0</t>
  </si>
  <si>
    <t>-0.51</t>
  </si>
  <si>
    <t>1.53</t>
  </si>
  <si>
    <t>-1.27</t>
  </si>
  <si>
    <t>2273755650.0</t>
  </si>
  <si>
    <t>-1.31</t>
  </si>
  <si>
    <t>-0.42</t>
  </si>
  <si>
    <t>-2.43</t>
  </si>
  <si>
    <t>0.83</t>
  </si>
  <si>
    <t>5933198.0</t>
  </si>
  <si>
    <t>oax</t>
  </si>
  <si>
    <t>2.04</t>
  </si>
  <si>
    <t>2.2</t>
  </si>
  <si>
    <t>-0.73</t>
  </si>
  <si>
    <t>0.9</t>
  </si>
  <si>
    <t>-1.21</t>
  </si>
  <si>
    <t>-5.57</t>
  </si>
  <si>
    <t>1.17</t>
  </si>
  <si>
    <t>-1.25</t>
  </si>
  <si>
    <t>15239327.0</t>
  </si>
  <si>
    <t>17361680.0</t>
  </si>
  <si>
    <t>-4.22</t>
  </si>
  <si>
    <t>-0.89</t>
  </si>
  <si>
    <t>-0.46</t>
  </si>
  <si>
    <t>-0.38</t>
  </si>
  <si>
    <t>4.33</t>
  </si>
  <si>
    <t>1.24</t>
  </si>
  <si>
    <t>9995510.0</t>
  </si>
  <si>
    <t>4470952.0</t>
  </si>
  <si>
    <t>4.11</t>
  </si>
  <si>
    <t>-9.09</t>
  </si>
  <si>
    <t>1.57</t>
  </si>
  <si>
    <t>0.000000009</t>
  </si>
  <si>
    <t>33.3913</t>
  </si>
  <si>
    <t>0.00775289</t>
  </si>
  <si>
    <t>1507209247</t>
  </si>
  <si>
    <t>0.00667472</t>
  </si>
  <si>
    <t>1507182252</t>
  </si>
  <si>
    <t>0.000000004</t>
  </si>
  <si>
    <t>0.00000153</t>
  </si>
  <si>
    <t>0.00000123</t>
  </si>
  <si>
    <t>27100000.0</t>
  </si>
  <si>
    <t>14937439.0</t>
  </si>
  <si>
    <t>0.0000418796</t>
  </si>
  <si>
    <t>1507175050</t>
  </si>
  <si>
    <t>256878.0</t>
  </si>
  <si>
    <t>0.00000092</t>
  </si>
  <si>
    <t>0.00001888</t>
  </si>
  <si>
    <t>930767.0</t>
  </si>
  <si>
    <t>1.39</t>
  </si>
  <si>
    <t>1642679.0</t>
  </si>
  <si>
    <t>0.00000121</t>
  </si>
  <si>
    <t>0.00000000004</t>
  </si>
  <si>
    <t>0.00000142</t>
  </si>
  <si>
    <t>0.00000250</t>
  </si>
  <si>
    <t>8.3</t>
  </si>
  <si>
    <t>minex</t>
  </si>
  <si>
    <t>Minex</t>
  </si>
  <si>
    <t>MINEX</t>
  </si>
  <si>
    <t>50440010.0</t>
  </si>
  <si>
    <t>1.96</t>
  </si>
  <si>
    <t>0.00000056</t>
  </si>
  <si>
    <t>0.000207976</t>
  </si>
  <si>
    <t>1507181653</t>
  </si>
  <si>
    <t>0.00133381</t>
  </si>
  <si>
    <t>1507209852</t>
  </si>
  <si>
    <t>0.0000623854</t>
  </si>
  <si>
    <t>1507194245</t>
  </si>
  <si>
    <t>0.000344985</t>
  </si>
  <si>
    <t>1507210755</t>
  </si>
  <si>
    <t>-0.66</t>
  </si>
  <si>
    <t>2.15</t>
  </si>
  <si>
    <t>-2.66</t>
  </si>
  <si>
    <t>-1.56</t>
  </si>
  <si>
    <t>-4.23</t>
  </si>
  <si>
    <t>1.26</t>
  </si>
  <si>
    <t>-3.28</t>
  </si>
  <si>
    <t>0.97</t>
  </si>
  <si>
    <t>0.00000177</t>
  </si>
  <si>
    <t>-2.72</t>
  </si>
  <si>
    <t>-5.55</t>
  </si>
  <si>
    <t>3.74</t>
  </si>
  <si>
    <t>5.13</t>
  </si>
  <si>
    <t>-1.5</t>
  </si>
  <si>
    <t>-6.09</t>
  </si>
  <si>
    <t>0.00000044</t>
  </si>
  <si>
    <t>-7.88</t>
  </si>
  <si>
    <t>0.6</t>
  </si>
  <si>
    <t>0.94</t>
  </si>
  <si>
    <t>-4.43</t>
  </si>
  <si>
    <t>0.5</t>
  </si>
  <si>
    <t>0.93</t>
  </si>
  <si>
    <t>1.21</t>
  </si>
  <si>
    <t>-0.06</t>
  </si>
  <si>
    <t>-4.84</t>
  </si>
  <si>
    <t>0.91</t>
  </si>
  <si>
    <t>-4.7</t>
  </si>
  <si>
    <t>0.88</t>
  </si>
  <si>
    <t>0.86</t>
  </si>
  <si>
    <t>1.34</t>
  </si>
  <si>
    <t>1.13</t>
  </si>
  <si>
    <t>1.18</t>
  </si>
  <si>
    <t>0.76</t>
  </si>
  <si>
    <t>0.28</t>
  </si>
  <si>
    <t>0.69</t>
  </si>
  <si>
    <t>0.36</t>
  </si>
  <si>
    <t>-11.72</t>
  </si>
  <si>
    <t>0.00001012</t>
  </si>
  <si>
    <t>-3.1</t>
  </si>
  <si>
    <t>2.82</t>
  </si>
  <si>
    <t>-3.09</t>
  </si>
  <si>
    <t>0.78</t>
  </si>
  <si>
    <t>-0.21</t>
  </si>
  <si>
    <t>5.07</t>
  </si>
  <si>
    <t>6.01</t>
  </si>
  <si>
    <t>113322017.0</t>
  </si>
  <si>
    <t>0.67</t>
  </si>
  <si>
    <t>-3.49</t>
  </si>
  <si>
    <t>3.28</t>
  </si>
  <si>
    <t>1.04</t>
  </si>
  <si>
    <t>0.66</t>
  </si>
  <si>
    <t>-11.52</t>
  </si>
  <si>
    <t>-4.01</t>
  </si>
  <si>
    <t>-14.13</t>
  </si>
  <si>
    <t>0.82</t>
  </si>
  <si>
    <t>-15.8</t>
  </si>
  <si>
    <t>2.7</t>
  </si>
  <si>
    <t>0.48</t>
  </si>
  <si>
    <t>3.05</t>
  </si>
  <si>
    <t>-8.61</t>
  </si>
  <si>
    <t>-0.96</t>
  </si>
  <si>
    <t>0.00003000</t>
  </si>
  <si>
    <t>-0.23</t>
  </si>
  <si>
    <t>0.00000074</t>
  </si>
  <si>
    <t>1.2</t>
  </si>
  <si>
    <t>-3.45</t>
  </si>
  <si>
    <t>0.00000782</t>
  </si>
  <si>
    <t>0.00000096</t>
  </si>
  <si>
    <t>-20.28</t>
  </si>
  <si>
    <t>0.99</t>
  </si>
  <si>
    <t>25596821.0</t>
  </si>
  <si>
    <t>0.00000063</t>
  </si>
  <si>
    <t>6.59</t>
  </si>
  <si>
    <t>0.00000200</t>
  </si>
  <si>
    <t>2.65</t>
  </si>
  <si>
    <t>6.32</t>
  </si>
  <si>
    <t>-7.17</t>
  </si>
  <si>
    <t>0.00000064</t>
  </si>
  <si>
    <t>5.15</t>
  </si>
  <si>
    <t>15391998665.0</t>
  </si>
  <si>
    <t>0.35</t>
  </si>
  <si>
    <t>-2.96</t>
  </si>
  <si>
    <t>8.75</t>
  </si>
  <si>
    <t>0.00001211</t>
  </si>
  <si>
    <t>-11.3</t>
  </si>
  <si>
    <t>-10.38</t>
  </si>
  <si>
    <t>0.00000171</t>
  </si>
  <si>
    <t>3.15</t>
  </si>
  <si>
    <t>0.0129739</t>
  </si>
  <si>
    <t>1507223948</t>
  </si>
  <si>
    <t>1.88</t>
  </si>
  <si>
    <t>0.0000431031</t>
  </si>
  <si>
    <t>1507217053</t>
  </si>
  <si>
    <t>3.97</t>
  </si>
  <si>
    <t>0.00000360</t>
  </si>
  <si>
    <t>-12.25</t>
  </si>
  <si>
    <t>0.34</t>
  </si>
  <si>
    <t>-2.36</t>
  </si>
  <si>
    <t>4.59</t>
  </si>
  <si>
    <t>3.23</t>
  </si>
  <si>
    <t>-7.41</t>
  </si>
  <si>
    <t>-1.36</t>
  </si>
  <si>
    <t>-8.01</t>
  </si>
  <si>
    <t>2.28</t>
  </si>
  <si>
    <t>0.00150826</t>
  </si>
  <si>
    <t>1507224252</t>
  </si>
  <si>
    <t>1.64</t>
  </si>
  <si>
    <t>5.09</t>
  </si>
  <si>
    <t>-0.47</t>
  </si>
  <si>
    <t>0.16</t>
  </si>
  <si>
    <t>0.05</t>
  </si>
  <si>
    <t>0.22</t>
  </si>
  <si>
    <t>0.56</t>
  </si>
  <si>
    <t>0.00000404</t>
  </si>
  <si>
    <t>-0.5</t>
  </si>
  <si>
    <t>-1.92</t>
  </si>
  <si>
    <t>-1.45</t>
  </si>
  <si>
    <t>-1.18</t>
  </si>
  <si>
    <t>-6.51</t>
  </si>
  <si>
    <t>-1.74</t>
  </si>
  <si>
    <t>3.47</t>
  </si>
  <si>
    <t>-1.33</t>
  </si>
  <si>
    <t>56143406.0</t>
  </si>
  <si>
    <t>-15.38</t>
  </si>
  <si>
    <t>0.98</t>
  </si>
  <si>
    <t>-0.25</t>
  </si>
  <si>
    <t>-0.33</t>
  </si>
  <si>
    <t>-1.65</t>
  </si>
  <si>
    <t>7198457.0</t>
  </si>
  <si>
    <t>-6.94</t>
  </si>
  <si>
    <t>-4.9</t>
  </si>
  <si>
    <t>-0.58</t>
  </si>
  <si>
    <t>226091449.0</t>
  </si>
  <si>
    <t>352000000.0</t>
  </si>
  <si>
    <t>-5.22</t>
  </si>
  <si>
    <t>-0.99</t>
  </si>
  <si>
    <t>-2.32</t>
  </si>
  <si>
    <t>-1.09</t>
  </si>
  <si>
    <t>-2.61</t>
  </si>
  <si>
    <t>-2.95</t>
  </si>
  <si>
    <t>-1.91</t>
  </si>
  <si>
    <t>-0.93</t>
  </si>
  <si>
    <t>-0.57</t>
  </si>
  <si>
    <t>642671985.0</t>
  </si>
  <si>
    <t>-1.39</t>
  </si>
  <si>
    <t>12.4</t>
  </si>
  <si>
    <t>-1.63</t>
  </si>
  <si>
    <t>227384800.0</t>
  </si>
  <si>
    <t>-0.26</t>
  </si>
  <si>
    <t>7647621.0</t>
  </si>
  <si>
    <t>2.39</t>
  </si>
  <si>
    <t>4.2</t>
  </si>
  <si>
    <t>-6.13</t>
  </si>
  <si>
    <t>-6.3</t>
  </si>
  <si>
    <t>-0.59</t>
  </si>
  <si>
    <t>1.7</t>
  </si>
  <si>
    <t>6.06</t>
  </si>
  <si>
    <t>2.8</t>
  </si>
  <si>
    <t>-7.73</t>
  </si>
  <si>
    <t>3.98</t>
  </si>
  <si>
    <t>-3.24</t>
  </si>
  <si>
    <t>11879177.0</t>
  </si>
  <si>
    <t>-2.86</t>
  </si>
  <si>
    <t>703179.0</t>
  </si>
  <si>
    <t>803179.0</t>
  </si>
  <si>
    <t>0.00000105</t>
  </si>
  <si>
    <t>2.78</t>
  </si>
  <si>
    <t>social</t>
  </si>
  <si>
    <t>3.36</t>
  </si>
  <si>
    <t>227489313.0</t>
  </si>
  <si>
    <t>-0.36</t>
  </si>
  <si>
    <t>-1.3</t>
  </si>
  <si>
    <t>-1.14</t>
  </si>
  <si>
    <t>0.00000599</t>
  </si>
  <si>
    <t>3.43</t>
  </si>
  <si>
    <t>12415993.0</t>
  </si>
  <si>
    <t>-1.47</t>
  </si>
  <si>
    <t>-24.86</t>
  </si>
  <si>
    <t>18.31</t>
  </si>
  <si>
    <t>6.76</t>
  </si>
  <si>
    <t>-1.03</t>
  </si>
  <si>
    <t>-1.72</t>
  </si>
  <si>
    <t>-5.63</t>
  </si>
  <si>
    <t>-0.78</t>
  </si>
  <si>
    <t>0.00000406</t>
  </si>
  <si>
    <t>3868787.0</t>
  </si>
  <si>
    <t>-10.7</t>
  </si>
  <si>
    <t>0.00000126</t>
  </si>
  <si>
    <t>-1.81</t>
  </si>
  <si>
    <t>4.66</t>
  </si>
  <si>
    <t>0.00000556</t>
  </si>
  <si>
    <t>0.00000163</t>
  </si>
  <si>
    <t>79721.0</t>
  </si>
  <si>
    <t>9.61</t>
  </si>
  <si>
    <t>0.00000190</t>
  </si>
  <si>
    <t>0.00000118</t>
  </si>
  <si>
    <t>0.00000125</t>
  </si>
  <si>
    <t>-0.61</t>
  </si>
  <si>
    <t>0.00000217</t>
  </si>
  <si>
    <t>1201551.0</t>
  </si>
  <si>
    <t>811201551.0</t>
  </si>
  <si>
    <t>0.00000084</t>
  </si>
  <si>
    <t>1874646.0</t>
  </si>
  <si>
    <t>0.00004600</t>
  </si>
  <si>
    <t>10000221.0</t>
  </si>
  <si>
    <t>-8.18</t>
  </si>
  <si>
    <t>0.00000308</t>
  </si>
  <si>
    <t>0.00001504</t>
  </si>
  <si>
    <t>0.00001090</t>
  </si>
  <si>
    <t>-7.08</t>
  </si>
  <si>
    <t>0.002</t>
  </si>
  <si>
    <t>34556.0</t>
  </si>
  <si>
    <t>0.3</t>
  </si>
  <si>
    <t>0.00000132</t>
  </si>
  <si>
    <t>0.00000221</t>
  </si>
  <si>
    <t>0.00756607</t>
  </si>
  <si>
    <t>0.00000172</t>
  </si>
  <si>
    <t>1507295051</t>
  </si>
  <si>
    <t>2.24</t>
  </si>
  <si>
    <t>-2.49</t>
  </si>
  <si>
    <t>-9.71</t>
  </si>
  <si>
    <t>-16.01</t>
  </si>
  <si>
    <t>-10.0</t>
  </si>
  <si>
    <t>0.0000437863</t>
  </si>
  <si>
    <t>1.52</t>
  </si>
  <si>
    <t>1507296850</t>
  </si>
  <si>
    <t>299480.0</t>
  </si>
  <si>
    <t>19844745.0</t>
  </si>
  <si>
    <t>0.0832001</t>
  </si>
  <si>
    <t>1507281541</t>
  </si>
  <si>
    <t>0.00000148</t>
  </si>
  <si>
    <t>0.00001990</t>
  </si>
  <si>
    <t>0.00001350</t>
  </si>
  <si>
    <t>0.00000266</t>
  </si>
  <si>
    <t>-0.6</t>
  </si>
  <si>
    <t>0.00000194</t>
  </si>
  <si>
    <t>-8.73</t>
  </si>
  <si>
    <t>-4.14</t>
  </si>
  <si>
    <t>0.00000061</t>
  </si>
  <si>
    <t>4.68</t>
  </si>
  <si>
    <t>0.00000290</t>
  </si>
  <si>
    <t>-1.42</t>
  </si>
  <si>
    <t>0.0025868</t>
  </si>
  <si>
    <t>0.0173662</t>
  </si>
  <si>
    <t>1507238355</t>
  </si>
  <si>
    <t>0.00626385</t>
  </si>
  <si>
    <t>1507280651</t>
  </si>
  <si>
    <t>0.00005690</t>
  </si>
  <si>
    <t>0.000130466</t>
  </si>
  <si>
    <t>1507268361</t>
  </si>
  <si>
    <t>581000.0</t>
  </si>
  <si>
    <t>-3.27</t>
  </si>
  <si>
    <t>-4.37</t>
  </si>
  <si>
    <t>ATMChain</t>
  </si>
  <si>
    <t>0.00000361</t>
  </si>
  <si>
    <t>0.0005</t>
  </si>
  <si>
    <t>-3.14</t>
  </si>
  <si>
    <t>43710120.0</t>
  </si>
  <si>
    <t>-12.54</t>
  </si>
  <si>
    <t>0.00000412</t>
  </si>
  <si>
    <t>3.11</t>
  </si>
  <si>
    <t>-19.44</t>
  </si>
  <si>
    <t>-9.65</t>
  </si>
  <si>
    <t>0.0000000002</t>
  </si>
  <si>
    <t>-2.52</t>
  </si>
  <si>
    <t>0.00000280</t>
  </si>
  <si>
    <t>0.00001802</t>
  </si>
  <si>
    <t>0.0000000003</t>
  </si>
  <si>
    <t>0.00000124</t>
  </si>
  <si>
    <t>0.00018617</t>
  </si>
  <si>
    <t>5.06</t>
  </si>
  <si>
    <t>0.00034171</t>
  </si>
  <si>
    <t>0.00013915</t>
  </si>
  <si>
    <t>0.00003005</t>
  </si>
  <si>
    <t>0.00000197</t>
  </si>
  <si>
    <t>0.00000037</t>
  </si>
  <si>
    <t>0.0000440113</t>
  </si>
  <si>
    <t>1507276453</t>
  </si>
  <si>
    <t>0.0000441662</t>
  </si>
  <si>
    <t>1507274050</t>
  </si>
  <si>
    <t>0.00123284</t>
  </si>
  <si>
    <t>1507273450</t>
  </si>
  <si>
    <t>-17.15</t>
  </si>
  <si>
    <t>-2.0</t>
  </si>
  <si>
    <t>0.00661208</t>
  </si>
  <si>
    <t>1507289947</t>
  </si>
  <si>
    <t>732.307</t>
  </si>
  <si>
    <t>1507266857</t>
  </si>
  <si>
    <t>0.000351374</t>
  </si>
  <si>
    <t>1507302562</t>
  </si>
  <si>
    <t>-3.61</t>
  </si>
  <si>
    <t>4.15</t>
  </si>
  <si>
    <t>4.02</t>
  </si>
  <si>
    <t>-5.29</t>
  </si>
  <si>
    <t>-2.14</t>
  </si>
  <si>
    <t>-15.53</t>
  </si>
  <si>
    <t>-3.48</t>
  </si>
  <si>
    <t>0.00001098</t>
  </si>
  <si>
    <t>-1.02</t>
  </si>
  <si>
    <t>0.00000046</t>
  </si>
  <si>
    <t>8.49</t>
  </si>
  <si>
    <t>0.00000263</t>
  </si>
  <si>
    <t>-5.88</t>
  </si>
  <si>
    <t>3.81</t>
  </si>
  <si>
    <t>0.00001260</t>
  </si>
  <si>
    <t>-3.04</t>
  </si>
  <si>
    <t>-3.21</t>
  </si>
  <si>
    <t>-4.94</t>
  </si>
  <si>
    <t>-10.19</t>
  </si>
  <si>
    <t>-24.92</t>
  </si>
  <si>
    <t>-14.73</t>
  </si>
  <si>
    <t>-15.21</t>
  </si>
  <si>
    <t>-1.11</t>
  </si>
  <si>
    <t>0.00000277</t>
  </si>
  <si>
    <t>-28.48</t>
  </si>
  <si>
    <t>-8.65</t>
  </si>
  <si>
    <t>stakecoin-stcn</t>
  </si>
  <si>
    <t>Stakecoin</t>
  </si>
  <si>
    <t>STCN</t>
  </si>
  <si>
    <t>61022232.0</t>
  </si>
  <si>
    <t>-4.51</t>
  </si>
  <si>
    <t>-9.08</t>
  </si>
  <si>
    <t>3.33</t>
  </si>
  <si>
    <t>2.77</t>
  </si>
  <si>
    <t>1139</t>
  </si>
  <si>
    <t>0.00000313</t>
  </si>
  <si>
    <t>-22.02</t>
  </si>
  <si>
    <t>3.7</t>
  </si>
  <si>
    <t>-1.87</t>
  </si>
  <si>
    <t>-4.97</t>
  </si>
  <si>
    <t>-2.04</t>
  </si>
  <si>
    <t>-5.1</t>
  </si>
  <si>
    <t>2.31</t>
  </si>
  <si>
    <t>-5.39</t>
  </si>
  <si>
    <t>-12.48</t>
  </si>
  <si>
    <t>-18.51</t>
  </si>
  <si>
    <t>3.77</t>
  </si>
  <si>
    <t>-9.26</t>
  </si>
  <si>
    <t>4.75</t>
  </si>
  <si>
    <t>-8.83</t>
  </si>
  <si>
    <t>12.24</t>
  </si>
  <si>
    <t>-13.51</t>
  </si>
  <si>
    <t>23.18</t>
  </si>
  <si>
    <t>4.49</t>
  </si>
  <si>
    <t>0.00000365</t>
  </si>
  <si>
    <t>36.11</t>
  </si>
  <si>
    <t>10.49</t>
  </si>
  <si>
    <t>-5.42</t>
  </si>
  <si>
    <t>8.85</t>
  </si>
  <si>
    <t>-14.72</t>
  </si>
  <si>
    <t>-21.63</t>
  </si>
  <si>
    <t>3.71</t>
  </si>
  <si>
    <t>5.97</t>
  </si>
  <si>
    <t>-6.72</t>
  </si>
  <si>
    <t>-15.35</t>
  </si>
  <si>
    <t>0.00000985</t>
  </si>
  <si>
    <t>-5.81</t>
  </si>
  <si>
    <t>8.76</t>
  </si>
  <si>
    <t>-3.54</t>
  </si>
  <si>
    <t>-13.26</t>
  </si>
  <si>
    <t>0.00000085</t>
  </si>
  <si>
    <t>9.59</t>
  </si>
  <si>
    <t>26.66</t>
  </si>
  <si>
    <t>-32.14</t>
  </si>
  <si>
    <t>2.75</t>
  </si>
  <si>
    <t>3.19</t>
  </si>
  <si>
    <t>-3.98</t>
  </si>
  <si>
    <t>3.06</t>
  </si>
  <si>
    <t>-3.05</t>
  </si>
  <si>
    <t>0.00000143</t>
  </si>
  <si>
    <t>-4.62</t>
  </si>
  <si>
    <t>4.91</t>
  </si>
  <si>
    <t>-12.67</t>
  </si>
  <si>
    <t>-8.69</t>
  </si>
  <si>
    <t>-10.2</t>
  </si>
  <si>
    <t>0.00000239</t>
  </si>
  <si>
    <t>5.03</t>
  </si>
  <si>
    <t>-14.66</t>
  </si>
  <si>
    <t>0.000138</t>
  </si>
  <si>
    <t>9.97</t>
  </si>
  <si>
    <t>Loan</t>
  </si>
  <si>
    <t>5.16</t>
  </si>
  <si>
    <t>38597142499.0</t>
  </si>
  <si>
    <t>99993307218.0</t>
  </si>
  <si>
    <t>0.32</t>
  </si>
  <si>
    <t>0.17</t>
  </si>
  <si>
    <t>0.57</t>
  </si>
  <si>
    <t>-0.79</t>
  </si>
  <si>
    <t>-1.05</t>
  </si>
  <si>
    <t>1.71</t>
  </si>
  <si>
    <t>-0.27</t>
  </si>
  <si>
    <t>-7.25</t>
  </si>
  <si>
    <t>-0.69</t>
  </si>
  <si>
    <t>0.54</t>
  </si>
  <si>
    <t>-3.17</t>
  </si>
  <si>
    <t>0.00000068</t>
  </si>
  <si>
    <t>65115000000.0</t>
  </si>
  <si>
    <t>-2.97</t>
  </si>
  <si>
    <t>-8.46</t>
  </si>
  <si>
    <t>3.51</t>
  </si>
  <si>
    <t>-6.56</t>
  </si>
  <si>
    <t>0.00000104</t>
  </si>
  <si>
    <t>-2.23</t>
  </si>
  <si>
    <t>-3.47</t>
  </si>
  <si>
    <t>1.55</t>
  </si>
  <si>
    <t>-0.12</t>
  </si>
  <si>
    <t>-1.54</t>
  </si>
  <si>
    <t>-0.45</t>
  </si>
  <si>
    <t>-15.23</t>
  </si>
  <si>
    <t>5.54</t>
  </si>
  <si>
    <t>0.63</t>
  </si>
  <si>
    <t>0.00148</t>
  </si>
  <si>
    <t>-0.98</t>
  </si>
  <si>
    <t>-12.62</t>
  </si>
  <si>
    <t>12.39</t>
  </si>
  <si>
    <t>4.53</t>
  </si>
  <si>
    <t>-15.2</t>
  </si>
  <si>
    <t>viberate</t>
  </si>
  <si>
    <t>Viberate</t>
  </si>
  <si>
    <t>VIB</t>
  </si>
  <si>
    <t>4.24</t>
  </si>
  <si>
    <t>-2.76</t>
  </si>
  <si>
    <t>216819832.0</t>
  </si>
  <si>
    <t>28636032247.0</t>
  </si>
  <si>
    <t>-2.56</t>
  </si>
  <si>
    <t>197824.0</t>
  </si>
  <si>
    <t>2.07</t>
  </si>
  <si>
    <t>2617689.0</t>
  </si>
  <si>
    <t>4.06</t>
  </si>
  <si>
    <t>2.46</t>
  </si>
  <si>
    <t>0.00007337</t>
  </si>
  <si>
    <t>952429892.0</t>
  </si>
  <si>
    <t>2000100000.0</t>
  </si>
  <si>
    <t>-2.91</t>
  </si>
  <si>
    <t>-3.84</t>
  </si>
  <si>
    <t>0.00000226</t>
  </si>
  <si>
    <t>127109488.0</t>
  </si>
  <si>
    <t>26244468.0</t>
  </si>
  <si>
    <t>-0.67</t>
  </si>
  <si>
    <t>12.83</t>
  </si>
  <si>
    <t>1.49</t>
  </si>
  <si>
    <t>-3.31</t>
  </si>
  <si>
    <t>3361052.0</t>
  </si>
  <si>
    <t>-3.91</t>
  </si>
  <si>
    <t>prospectors-gold</t>
  </si>
  <si>
    <t>Prospectors Gold</t>
  </si>
  <si>
    <t>PGL</t>
  </si>
  <si>
    <t>64500000.0</t>
  </si>
  <si>
    <t>220000000.0</t>
  </si>
  <si>
    <t>-0.91</t>
  </si>
  <si>
    <t>0.43</t>
  </si>
  <si>
    <t>-3.38</t>
  </si>
  <si>
    <t>-19.18</t>
  </si>
  <si>
    <t>-3.39</t>
  </si>
  <si>
    <t>-7.07</t>
  </si>
  <si>
    <t>-16.89</t>
  </si>
  <si>
    <t>-3.42</t>
  </si>
  <si>
    <t>-4.56</t>
  </si>
  <si>
    <t>3811072.0</t>
  </si>
  <si>
    <t>1.05</t>
  </si>
  <si>
    <t>-2.31</t>
  </si>
  <si>
    <t>-16.91</t>
  </si>
  <si>
    <t>20564300.0</t>
  </si>
  <si>
    <t>-2.69</t>
  </si>
  <si>
    <t>-8.17</t>
  </si>
  <si>
    <t>-21.05</t>
  </si>
  <si>
    <t>0.00000168</t>
  </si>
  <si>
    <t>0.00000252</t>
  </si>
  <si>
    <t>36903437.0</t>
  </si>
  <si>
    <t>103242825.0</t>
  </si>
  <si>
    <t>-1.95</t>
  </si>
  <si>
    <t>5.56</t>
  </si>
  <si>
    <t>-1.69</t>
  </si>
  <si>
    <t>6.97</t>
  </si>
  <si>
    <t>4066520.0</t>
  </si>
  <si>
    <t>0.00070985</t>
  </si>
  <si>
    <t>0.000475</t>
  </si>
  <si>
    <t>-4.0</t>
  </si>
  <si>
    <t>-3.95</t>
  </si>
  <si>
    <t>4.85</t>
  </si>
  <si>
    <t>200685164.0</t>
  </si>
  <si>
    <t>0.00736283</t>
  </si>
  <si>
    <t>3.45</t>
  </si>
  <si>
    <t>12248511.0</t>
  </si>
  <si>
    <t>-2.33</t>
  </si>
  <si>
    <t>1.08</t>
  </si>
  <si>
    <t>-9.88</t>
  </si>
  <si>
    <t>13600388.0</t>
  </si>
  <si>
    <t>internxt</t>
  </si>
  <si>
    <t>Internxt</t>
  </si>
  <si>
    <t>INXT</t>
  </si>
  <si>
    <t>629610.0</t>
  </si>
  <si>
    <t>22619773.0</t>
  </si>
  <si>
    <t>0.00000246</t>
  </si>
  <si>
    <t>0.58</t>
  </si>
  <si>
    <t>0.00001761</t>
  </si>
  <si>
    <t>1.72</t>
  </si>
  <si>
    <t>0.00000116</t>
  </si>
  <si>
    <t>0.00001860</t>
  </si>
  <si>
    <t>-12.83</t>
  </si>
  <si>
    <t>51393105.0</t>
  </si>
  <si>
    <t>70856246.0</t>
  </si>
  <si>
    <t>0.00004544</t>
  </si>
  <si>
    <t>0.00003265</t>
  </si>
  <si>
    <t>0.00003525</t>
  </si>
  <si>
    <t>4.44</t>
  </si>
  <si>
    <t>0.00000788</t>
  </si>
  <si>
    <t>0.00001486</t>
  </si>
  <si>
    <t>0.00006209</t>
  </si>
  <si>
    <t>0.00007628</t>
  </si>
  <si>
    <t>0.00000507</t>
  </si>
  <si>
    <t>23376718.0</t>
  </si>
  <si>
    <t>cybcsec</t>
  </si>
  <si>
    <t>CybCSec</t>
  </si>
  <si>
    <t>XCS</t>
  </si>
  <si>
    <t>5.64</t>
  </si>
  <si>
    <t>11.38</t>
  </si>
  <si>
    <t>0.00000087</t>
  </si>
  <si>
    <t>2.94</t>
  </si>
  <si>
    <t>-7.57</t>
  </si>
  <si>
    <t>0.0000000006</t>
  </si>
  <si>
    <t>284541.0</t>
  </si>
  <si>
    <t>145003010000</t>
  </si>
  <si>
    <t>6545315.0</t>
  </si>
  <si>
    <t>0.00100809</t>
  </si>
  <si>
    <t>6.0</t>
  </si>
  <si>
    <t>8.6</t>
  </si>
  <si>
    <t>0.00000059</t>
  </si>
  <si>
    <t>0.00000450</t>
  </si>
  <si>
    <t>0.00002139</t>
  </si>
  <si>
    <t>0.00013995</t>
  </si>
  <si>
    <t>0.00001188</t>
  </si>
  <si>
    <t>0.00000232</t>
  </si>
  <si>
    <t>144046526.0</t>
  </si>
  <si>
    <t>344046526.0</t>
  </si>
  <si>
    <t>-16.29</t>
  </si>
  <si>
    <t>0.00000174</t>
  </si>
  <si>
    <t>6668070.0</t>
  </si>
  <si>
    <t>0.00002503</t>
  </si>
  <si>
    <t>0.00000090</t>
  </si>
  <si>
    <t>4.77</t>
  </si>
  <si>
    <t>-15.71</t>
  </si>
  <si>
    <t>0.00000182</t>
  </si>
  <si>
    <t>-0.7</t>
  </si>
  <si>
    <t>18671.0</t>
  </si>
  <si>
    <t>0.00001366</t>
  </si>
  <si>
    <t>7.24</t>
  </si>
  <si>
    <t>28.18</t>
  </si>
  <si>
    <t>3821590.0</t>
  </si>
  <si>
    <t>253821590.0</t>
  </si>
  <si>
    <t>43.0</t>
  </si>
  <si>
    <t>-12.23</t>
  </si>
  <si>
    <t>0.00000077</t>
  </si>
  <si>
    <t>163.805</t>
  </si>
  <si>
    <t>0.0377197</t>
  </si>
  <si>
    <t>1507314549</t>
  </si>
  <si>
    <t>0.00001045</t>
  </si>
  <si>
    <t>0.00034976</t>
  </si>
  <si>
    <t>14.09</t>
  </si>
  <si>
    <t>11433103485.0</t>
  </si>
  <si>
    <t>-24.48</t>
  </si>
  <si>
    <t>0.00003787</t>
  </si>
  <si>
    <t>-4.88</t>
  </si>
  <si>
    <t>0.00002000</t>
  </si>
  <si>
    <t>-11.44</t>
  </si>
  <si>
    <t>0.00001467</t>
  </si>
  <si>
    <t>0.00000098</t>
  </si>
  <si>
    <t>22.81</t>
  </si>
  <si>
    <t>0.00000358</t>
  </si>
  <si>
    <t>1.23</t>
  </si>
  <si>
    <t>5758653.0</t>
  </si>
  <si>
    <t>0.00000127</t>
  </si>
  <si>
    <t>-4.36</t>
  </si>
  <si>
    <t>0.00000176</t>
  </si>
  <si>
    <t>1.66</t>
  </si>
  <si>
    <t>0.00035161</t>
  </si>
  <si>
    <t>195471.0</t>
  </si>
  <si>
    <t>-13.13</t>
  </si>
  <si>
    <t>0.00000137</t>
  </si>
  <si>
    <t>-20.11</t>
  </si>
  <si>
    <t>0.0531718</t>
  </si>
  <si>
    <t>4699301.0</t>
  </si>
  <si>
    <t>1507305844</t>
  </si>
  <si>
    <t>0.00959193</t>
  </si>
  <si>
    <t>1507319645</t>
  </si>
  <si>
    <t>0.31</t>
  </si>
  <si>
    <t>2612680.0</t>
  </si>
  <si>
    <t>16373788.0</t>
  </si>
  <si>
    <t>-3.29</t>
  </si>
  <si>
    <t>13053601.0</t>
  </si>
  <si>
    <t>-28.29</t>
  </si>
  <si>
    <t>0.00000830</t>
  </si>
  <si>
    <t>7799025.0</t>
  </si>
  <si>
    <t>0.00000219</t>
  </si>
  <si>
    <t>0.0014355</t>
  </si>
  <si>
    <t>1507326554</t>
  </si>
  <si>
    <t>-7.5</t>
  </si>
  <si>
    <t>0.00000299</t>
  </si>
  <si>
    <t>0.00000798</t>
  </si>
  <si>
    <t>0.00278313</t>
  </si>
  <si>
    <t>1507337663</t>
  </si>
  <si>
    <t>0.00000205</t>
  </si>
  <si>
    <t>-22.77</t>
  </si>
  <si>
    <t>-4.21</t>
  </si>
  <si>
    <t>0.00000052</t>
  </si>
  <si>
    <t>-2.75</t>
  </si>
  <si>
    <t>1.46</t>
  </si>
  <si>
    <t>0.00000198</t>
  </si>
  <si>
    <t>0.00002938</t>
  </si>
  <si>
    <t>-18.82</t>
  </si>
  <si>
    <t>0.00000078</t>
  </si>
  <si>
    <t>0.00018004</t>
  </si>
  <si>
    <t>0.00001221</t>
  </si>
  <si>
    <t>5.01</t>
  </si>
  <si>
    <t>0.00001400</t>
  </si>
  <si>
    <t>14.81</t>
  </si>
  <si>
    <t>0.00000103</t>
  </si>
  <si>
    <t>0.00000187</t>
  </si>
  <si>
    <t>0.81</t>
  </si>
  <si>
    <t>14.08</t>
  </si>
  <si>
    <t>-4.63</t>
  </si>
  <si>
    <t>-16.67</t>
  </si>
  <si>
    <t>-21.06</t>
  </si>
  <si>
    <t>-1.79</t>
  </si>
  <si>
    <t>-16.44</t>
  </si>
  <si>
    <t>0.00320002</t>
  </si>
  <si>
    <t>3.55</t>
  </si>
  <si>
    <t>0.000655516</t>
  </si>
  <si>
    <t>1507342150</t>
  </si>
  <si>
    <t>0.00000000005</t>
  </si>
  <si>
    <t>11.2945</t>
  </si>
  <si>
    <t>1507331960</t>
  </si>
  <si>
    <t>23.43</t>
  </si>
  <si>
    <t>0.00403478</t>
  </si>
  <si>
    <t>1507307958</t>
  </si>
  <si>
    <t>0.00000296</t>
  </si>
  <si>
    <t>0.00000331</t>
  </si>
  <si>
    <t>0.00001569</t>
  </si>
  <si>
    <t>0.00000486</t>
  </si>
  <si>
    <t>0.00001224</t>
  </si>
  <si>
    <t>0.0021889</t>
  </si>
  <si>
    <t>1507332255</t>
  </si>
  <si>
    <t>0.00001292</t>
  </si>
  <si>
    <t>159347.0</t>
  </si>
  <si>
    <t>0.00000179</t>
  </si>
  <si>
    <t>15.17</t>
  </si>
  <si>
    <t>0.0000435036</t>
  </si>
  <si>
    <t>1507316349</t>
  </si>
  <si>
    <t>0.00000499</t>
  </si>
  <si>
    <t>0.00174901</t>
  </si>
  <si>
    <t>1507340051</t>
  </si>
  <si>
    <t>0.00000247</t>
  </si>
  <si>
    <t>1.00001</t>
  </si>
  <si>
    <t>1416000.0</t>
  </si>
  <si>
    <t>0.00000138</t>
  </si>
  <si>
    <t>0.00001200</t>
  </si>
  <si>
    <t>7.31</t>
  </si>
  <si>
    <t>rchain</t>
  </si>
  <si>
    <t>RChain</t>
  </si>
  <si>
    <t>RHOC</t>
  </si>
  <si>
    <t>0.00000428</t>
  </si>
  <si>
    <t>4.26</t>
  </si>
  <si>
    <t>0.00037</t>
  </si>
  <si>
    <t>-5.26</t>
  </si>
  <si>
    <t>whalecoin</t>
  </si>
  <si>
    <t>WhaleCoin</t>
  </si>
  <si>
    <t>WHL</t>
  </si>
  <si>
    <t>-6.87</t>
  </si>
  <si>
    <t>0.00000289</t>
  </si>
  <si>
    <t>encryptotel-eth</t>
  </si>
  <si>
    <t>EncryptoTel [ETH]</t>
  </si>
  <si>
    <t>402.22</t>
  </si>
  <si>
    <t>0.00000946</t>
  </si>
  <si>
    <t>5.86</t>
  </si>
  <si>
    <t>0.148</t>
  </si>
  <si>
    <t>1571.76</t>
  </si>
  <si>
    <t>27.59</t>
  </si>
  <si>
    <t>-5.85</t>
  </si>
  <si>
    <t>0.00250007</t>
  </si>
  <si>
    <t>-4.3</t>
  </si>
  <si>
    <t>0.00006540</t>
  </si>
  <si>
    <t>3.86</t>
  </si>
  <si>
    <t>-2.54</t>
  </si>
  <si>
    <t>-3.12</t>
  </si>
  <si>
    <t>0.00000130</t>
  </si>
  <si>
    <t>0.00006007</t>
  </si>
  <si>
    <t>-6.7</t>
  </si>
  <si>
    <t>-20.98</t>
  </si>
  <si>
    <t>-21.36</t>
  </si>
  <si>
    <t>0.00000750</t>
  </si>
  <si>
    <t>0.00272528</t>
  </si>
  <si>
    <t>0.00002703</t>
  </si>
  <si>
    <t>0.00000531</t>
  </si>
  <si>
    <t>4.37</t>
  </si>
  <si>
    <t>0.00000900</t>
  </si>
  <si>
    <t>0.00000276</t>
  </si>
  <si>
    <t>0.00003760</t>
  </si>
  <si>
    <t>441139.0</t>
  </si>
  <si>
    <t>0.00009997</t>
  </si>
  <si>
    <t>0.00000381</t>
  </si>
  <si>
    <t>1.74</t>
  </si>
  <si>
    <t>4.32</t>
  </si>
  <si>
    <t>-6.55</t>
  </si>
  <si>
    <t>2.1</t>
  </si>
  <si>
    <t>0.131412</t>
  </si>
  <si>
    <t>1507341847</t>
  </si>
  <si>
    <t>1.79</t>
  </si>
  <si>
    <t>0.00543698</t>
  </si>
  <si>
    <t>1507333156</t>
  </si>
  <si>
    <t>0.00165198</t>
  </si>
  <si>
    <t>1507320845</t>
  </si>
  <si>
    <t>649.093</t>
  </si>
  <si>
    <t>0.148079</t>
  </si>
  <si>
    <t>1507337056</t>
  </si>
  <si>
    <t>0.0000674553</t>
  </si>
  <si>
    <t>1507314557</t>
  </si>
  <si>
    <t>0.000174146</t>
  </si>
  <si>
    <t>1507329251</t>
  </si>
  <si>
    <t>1140</t>
  </si>
  <si>
    <t>1141</t>
  </si>
  <si>
    <t>1142</t>
  </si>
  <si>
    <t>1143</t>
  </si>
  <si>
    <t>1144</t>
  </si>
  <si>
    <t>1145</t>
  </si>
  <si>
    <t>1146</t>
  </si>
  <si>
    <t>Update Every Sunday</t>
  </si>
  <si>
    <t>-1.88</t>
  </si>
  <si>
    <t>2.01</t>
  </si>
  <si>
    <t>-4.33</t>
  </si>
  <si>
    <t>-13.89</t>
  </si>
  <si>
    <t>-1.98</t>
  </si>
  <si>
    <t>-4.26</t>
  </si>
  <si>
    <t>-7.79</t>
  </si>
  <si>
    <t>-3.32</t>
  </si>
  <si>
    <t>-1.01</t>
  </si>
  <si>
    <t>4.16</t>
  </si>
  <si>
    <t>-9.11</t>
  </si>
  <si>
    <t>-5.36</t>
  </si>
  <si>
    <t>-1.41</t>
  </si>
  <si>
    <t>-8.25</t>
  </si>
  <si>
    <t>-4.05</t>
  </si>
  <si>
    <t>-11.57</t>
  </si>
  <si>
    <t>20.43</t>
  </si>
  <si>
    <t>-2.78</t>
  </si>
  <si>
    <t>10.94</t>
  </si>
  <si>
    <t>-8.32</t>
  </si>
  <si>
    <t>-21.69</t>
  </si>
  <si>
    <t>-7.53</t>
  </si>
  <si>
    <t>-9.96</t>
  </si>
  <si>
    <t>-16.79</t>
  </si>
  <si>
    <t>-14.28</t>
  </si>
  <si>
    <t>3.26</t>
  </si>
  <si>
    <t>-9.33</t>
  </si>
  <si>
    <t>-13.4</t>
  </si>
  <si>
    <t>-15.26</t>
  </si>
  <si>
    <t>2.34</t>
  </si>
  <si>
    <t>-8.89</t>
  </si>
  <si>
    <t>-5.43</t>
  </si>
  <si>
    <t>-6.36</t>
  </si>
  <si>
    <t>4.84</t>
  </si>
  <si>
    <t>-13.02</t>
  </si>
  <si>
    <t>-1.68</t>
  </si>
  <si>
    <t>3.57</t>
  </si>
  <si>
    <t>3.13</t>
  </si>
  <si>
    <t>31.49</t>
  </si>
  <si>
    <t>12.89</t>
  </si>
  <si>
    <t>-12.85</t>
  </si>
  <si>
    <t>-16.16</t>
  </si>
  <si>
    <t>7.67</t>
  </si>
  <si>
    <t>-21.42</t>
  </si>
  <si>
    <t>4.52</t>
  </si>
  <si>
    <t>0.00000790</t>
  </si>
  <si>
    <t>-4.61</t>
  </si>
  <si>
    <t>11.72</t>
  </si>
  <si>
    <t>-8.91</t>
  </si>
  <si>
    <t>0.00000423</t>
  </si>
  <si>
    <t>28.05</t>
  </si>
  <si>
    <t>-38.1</t>
  </si>
  <si>
    <t>0.00000202</t>
  </si>
  <si>
    <t>-13.73</t>
  </si>
  <si>
    <t>12.23</t>
  </si>
  <si>
    <t>4.47</t>
  </si>
  <si>
    <t>5.44</t>
  </si>
  <si>
    <t>0.00000787</t>
  </si>
  <si>
    <t>-10.77</t>
  </si>
  <si>
    <t>-17.1</t>
  </si>
  <si>
    <t>-6.69</t>
  </si>
  <si>
    <t>-3.4</t>
  </si>
  <si>
    <t>7.18</t>
  </si>
  <si>
    <t>4.45</t>
  </si>
  <si>
    <t>13.93</t>
  </si>
  <si>
    <t>-5.99</t>
  </si>
  <si>
    <t>-9.83</t>
  </si>
  <si>
    <t>16587513694.0</t>
  </si>
  <si>
    <t>-17.75</t>
  </si>
  <si>
    <t>-6.81</t>
  </si>
  <si>
    <t>-10.04</t>
  </si>
  <si>
    <t>-14.19</t>
  </si>
  <si>
    <t>-3.06</t>
  </si>
  <si>
    <t>23.11</t>
  </si>
  <si>
    <t>1.44</t>
  </si>
  <si>
    <t>-7.92</t>
  </si>
  <si>
    <t>-10.58</t>
  </si>
  <si>
    <t>-2.01</t>
  </si>
  <si>
    <t>10.66</t>
  </si>
  <si>
    <t>-13.93</t>
  </si>
  <si>
    <t>-10.36</t>
  </si>
  <si>
    <t>-3.18</t>
  </si>
  <si>
    <t>-5.98</t>
  </si>
  <si>
    <t>-1.9</t>
  </si>
  <si>
    <t>-6.03</t>
  </si>
  <si>
    <t>-39.78</t>
  </si>
  <si>
    <t>-3.71</t>
  </si>
  <si>
    <t>-10.08</t>
  </si>
  <si>
    <t>-19.2</t>
  </si>
  <si>
    <t>3.8</t>
  </si>
  <si>
    <t>0.00001767</t>
  </si>
  <si>
    <t>51.0</t>
  </si>
  <si>
    <t>14.31</t>
  </si>
  <si>
    <t>9.29</t>
  </si>
  <si>
    <t>61.02</t>
  </si>
  <si>
    <t>0.00000036</t>
  </si>
  <si>
    <t>3.01</t>
  </si>
  <si>
    <t>20225495.0</t>
  </si>
  <si>
    <t>-3.74</t>
  </si>
  <si>
    <t>-11.97</t>
  </si>
  <si>
    <t>-11.42</t>
  </si>
  <si>
    <t>-11.17</t>
  </si>
  <si>
    <t>5.05</t>
  </si>
  <si>
    <t>5.74</t>
  </si>
  <si>
    <t>-21.08</t>
  </si>
  <si>
    <t>-30.58</t>
  </si>
  <si>
    <t>-14.99</t>
  </si>
  <si>
    <t>8.78</t>
  </si>
  <si>
    <t>-16.56</t>
  </si>
  <si>
    <t>-3.07</t>
  </si>
  <si>
    <t>-4.49</t>
  </si>
  <si>
    <t>1.62</t>
  </si>
  <si>
    <t>-2.71</t>
  </si>
  <si>
    <t>33.02</t>
  </si>
  <si>
    <t>13.23</t>
  </si>
  <si>
    <t>70145114.0</t>
  </si>
  <si>
    <t>32.99</t>
  </si>
  <si>
    <t>0.00000122</t>
  </si>
  <si>
    <t>8.88</t>
  </si>
  <si>
    <t>7.03</t>
  </si>
  <si>
    <t>16.59</t>
  </si>
  <si>
    <t>3.67</t>
  </si>
  <si>
    <t>7.69</t>
  </si>
  <si>
    <t>-3.73</t>
  </si>
  <si>
    <t>-5.33</t>
  </si>
  <si>
    <t>9.78</t>
  </si>
  <si>
    <t>2.74</t>
  </si>
  <si>
    <t>-18.24</t>
  </si>
  <si>
    <t>-11.59</t>
  </si>
  <si>
    <t>4.55</t>
  </si>
  <si>
    <t>-19.34</t>
  </si>
  <si>
    <t>4.08</t>
  </si>
  <si>
    <t>3.4</t>
  </si>
  <si>
    <t>-7.09</t>
  </si>
  <si>
    <t>-18.4</t>
  </si>
  <si>
    <t>-5.14</t>
  </si>
  <si>
    <t>-19.92</t>
  </si>
  <si>
    <t>-6.39</t>
  </si>
  <si>
    <t>11.0</t>
  </si>
  <si>
    <t>0.00001190</t>
  </si>
  <si>
    <t>6.16</t>
  </si>
  <si>
    <t>-9.3</t>
  </si>
  <si>
    <t>6.7</t>
  </si>
  <si>
    <t>-29.03</t>
  </si>
  <si>
    <t>-15.86</t>
  </si>
  <si>
    <t>0.00000164</t>
  </si>
  <si>
    <t>-14.07</t>
  </si>
  <si>
    <t>1.35</t>
  </si>
  <si>
    <t>57.69</t>
  </si>
  <si>
    <t>0.00016958</t>
  </si>
  <si>
    <t>8.29</t>
  </si>
  <si>
    <t>-6.58</t>
  </si>
  <si>
    <t>-7.21</t>
  </si>
  <si>
    <t>-5.01</t>
  </si>
  <si>
    <t>-11.38</t>
  </si>
  <si>
    <t>0.00000425</t>
  </si>
  <si>
    <t>-26.41</t>
  </si>
  <si>
    <t>0.00005330</t>
  </si>
  <si>
    <t>-11.84</t>
  </si>
  <si>
    <t>-12.81</t>
  </si>
  <si>
    <t>10.73</t>
  </si>
  <si>
    <t>-7.34</t>
  </si>
  <si>
    <t>-30.82</t>
  </si>
  <si>
    <t>12.36</t>
  </si>
  <si>
    <t>9.2</t>
  </si>
  <si>
    <t>-22.55</t>
  </si>
  <si>
    <t>2.76</t>
  </si>
  <si>
    <t>6.64</t>
  </si>
  <si>
    <t>-7.24</t>
  </si>
  <si>
    <t>7.14</t>
  </si>
  <si>
    <t>-21.23</t>
  </si>
  <si>
    <t>0.00000062</t>
  </si>
  <si>
    <t>-16.92</t>
  </si>
  <si>
    <t>-17.13</t>
  </si>
  <si>
    <t>-7.72</t>
  </si>
  <si>
    <t>-15.57</t>
  </si>
  <si>
    <t>-24.46</t>
  </si>
  <si>
    <t>-13.85</t>
  </si>
  <si>
    <t>-20.55</t>
  </si>
  <si>
    <t>-7.74</t>
  </si>
  <si>
    <t>-33.58</t>
  </si>
  <si>
    <t>-15.64</t>
  </si>
  <si>
    <t>0.00000407</t>
  </si>
  <si>
    <t>-19.11</t>
  </si>
  <si>
    <t>3.24</t>
  </si>
  <si>
    <t>-6.85</t>
  </si>
  <si>
    <t>-23.63</t>
  </si>
  <si>
    <t>-13.6</t>
  </si>
  <si>
    <t>-23.38</t>
  </si>
  <si>
    <t>-12.65</t>
  </si>
  <si>
    <t>0.00001785</t>
  </si>
  <si>
    <t>-24.08</t>
  </si>
  <si>
    <t>17.3</t>
  </si>
  <si>
    <t>-20.99</t>
  </si>
  <si>
    <t>-17.04</t>
  </si>
  <si>
    <t>0.00000446</t>
  </si>
  <si>
    <t>0.0001499</t>
  </si>
  <si>
    <t>-14.45</t>
  </si>
  <si>
    <t>-5.78</t>
  </si>
  <si>
    <t>-13.95</t>
  </si>
  <si>
    <t>18.57</t>
  </si>
  <si>
    <t>-9.54</t>
  </si>
  <si>
    <t>7681431.0</t>
  </si>
  <si>
    <t>18.77</t>
  </si>
  <si>
    <t>12.64</t>
  </si>
  <si>
    <t>163970667.0</t>
  </si>
  <si>
    <t>0.00002040</t>
  </si>
  <si>
    <t>0.00001035</t>
  </si>
  <si>
    <t>-29.29</t>
  </si>
  <si>
    <t>19.99</t>
  </si>
  <si>
    <t>-19.53</t>
  </si>
  <si>
    <t>-11.6</t>
  </si>
  <si>
    <t>0.00002313</t>
  </si>
  <si>
    <t>4.12</t>
  </si>
  <si>
    <t>0.00000653</t>
  </si>
  <si>
    <t>6.22</t>
  </si>
  <si>
    <t>22.47</t>
  </si>
  <si>
    <t>7.07</t>
  </si>
  <si>
    <t>8.98</t>
  </si>
  <si>
    <t>0.00003641</t>
  </si>
  <si>
    <t>0.00009995</t>
  </si>
  <si>
    <t>0.00001430</t>
  </si>
  <si>
    <t>-9.0</t>
  </si>
  <si>
    <t>0.00009917</t>
  </si>
  <si>
    <t>111392579976</t>
  </si>
  <si>
    <t>0.00000658</t>
  </si>
  <si>
    <t>219305.0</t>
  </si>
  <si>
    <t>98992535.0</t>
  </si>
  <si>
    <t>0.00014088</t>
  </si>
  <si>
    <t>0.00002047</t>
  </si>
  <si>
    <t>0.00090003</t>
  </si>
  <si>
    <t>-23.36</t>
  </si>
  <si>
    <t>0.00332163</t>
  </si>
  <si>
    <t>1004371.0</t>
  </si>
  <si>
    <t>0.00007041</t>
  </si>
  <si>
    <t>0.00000474</t>
  </si>
  <si>
    <t>559877.0</t>
  </si>
  <si>
    <t>616193.0</t>
  </si>
  <si>
    <t>0.00221692</t>
  </si>
  <si>
    <t>0.00011</t>
  </si>
  <si>
    <t>5483847.0</t>
  </si>
  <si>
    <t>0.00001209</t>
  </si>
  <si>
    <t>0.00000264</t>
  </si>
  <si>
    <t>0.00055627</t>
  </si>
  <si>
    <t>-13.96</t>
  </si>
  <si>
    <t>-23.78</t>
  </si>
  <si>
    <t>0.00004288</t>
  </si>
  <si>
    <t>0.00000622</t>
  </si>
  <si>
    <t>0.00003095</t>
  </si>
  <si>
    <t>0.0002702</t>
  </si>
  <si>
    <t>0.00002001</t>
  </si>
  <si>
    <t>39189860.0</t>
  </si>
  <si>
    <t>76728659.0</t>
  </si>
  <si>
    <t>0.00043964</t>
  </si>
  <si>
    <t>6830540.0</t>
  </si>
  <si>
    <t>0.00010766</t>
  </si>
  <si>
    <t>930671.0</t>
  </si>
  <si>
    <t>55.81</t>
  </si>
  <si>
    <t>0.00001649</t>
  </si>
  <si>
    <t>0.00000683</t>
  </si>
  <si>
    <t>0.00004161</t>
  </si>
  <si>
    <t>1133007.0</t>
  </si>
  <si>
    <t>0.00000398</t>
  </si>
  <si>
    <t>0.00010043</t>
  </si>
  <si>
    <t>0.00006063</t>
  </si>
  <si>
    <t>0.000155</t>
  </si>
  <si>
    <t>0.00003638</t>
  </si>
  <si>
    <t>0.00004852</t>
  </si>
  <si>
    <t>0.00000316</t>
  </si>
  <si>
    <t>12110050.0</t>
  </si>
  <si>
    <t>0.00006200</t>
  </si>
  <si>
    <t>1778333.0</t>
  </si>
  <si>
    <t>0.00016428</t>
  </si>
  <si>
    <t>0.00001314</t>
  </si>
  <si>
    <t>0.00002751</t>
  </si>
  <si>
    <t>0.00001017</t>
  </si>
  <si>
    <t>2279135.0</t>
  </si>
  <si>
    <t>4848522.0</t>
  </si>
  <si>
    <t>14848522.0</t>
  </si>
  <si>
    <t>0.00000573</t>
  </si>
  <si>
    <t>14.06</t>
  </si>
  <si>
    <t>972586.0</t>
  </si>
  <si>
    <t>91972586.0</t>
  </si>
  <si>
    <t>0.00001499</t>
  </si>
  <si>
    <t>0.00001146</t>
  </si>
  <si>
    <t>3433358762.0</t>
  </si>
  <si>
    <t>0.00014058</t>
  </si>
  <si>
    <t>0.00000615</t>
  </si>
  <si>
    <t>0.00002380</t>
  </si>
  <si>
    <t>0.00000427</t>
  </si>
  <si>
    <t>0.00001031</t>
  </si>
  <si>
    <t>0.00002867</t>
  </si>
  <si>
    <t>2093399315.0</t>
  </si>
  <si>
    <t>0.00000557</t>
  </si>
  <si>
    <t>0.00001453</t>
  </si>
  <si>
    <t>25.04</t>
  </si>
  <si>
    <t>6017350.0</t>
  </si>
  <si>
    <t>17999315.0</t>
  </si>
  <si>
    <t>25999315.0</t>
  </si>
  <si>
    <t>8128311.0</t>
  </si>
  <si>
    <t>13701200.0</t>
  </si>
  <si>
    <t>793701200.0</t>
  </si>
  <si>
    <t>1450359.0</t>
  </si>
  <si>
    <t>0.00429477</t>
  </si>
  <si>
    <t>6.76856</t>
  </si>
  <si>
    <t>0.0351042</t>
  </si>
  <si>
    <t>0.00002872</t>
  </si>
  <si>
    <t>0.00000873</t>
  </si>
  <si>
    <t>109508864.0</t>
  </si>
  <si>
    <t>0.00766335</t>
  </si>
  <si>
    <t>0.00001922</t>
  </si>
  <si>
    <t>0.00113167</t>
  </si>
  <si>
    <t>0.00012545</t>
  </si>
  <si>
    <t>6703386.0</t>
  </si>
  <si>
    <t>10139935.0</t>
  </si>
  <si>
    <t>13.75</t>
  </si>
  <si>
    <t>17.93</t>
  </si>
  <si>
    <t>-14.96</t>
  </si>
  <si>
    <t>0.00007872</t>
  </si>
  <si>
    <t>27.38</t>
  </si>
  <si>
    <t>12.57</t>
  </si>
  <si>
    <t>-29.54</t>
  </si>
  <si>
    <t>15572854.0</t>
  </si>
  <si>
    <t>0.00003302</t>
  </si>
  <si>
    <t>6155.84</t>
  </si>
  <si>
    <t>61432.6</t>
  </si>
  <si>
    <t>77347.6</t>
  </si>
  <si>
    <t>555.885</t>
  </si>
  <si>
    <t>52683.4</t>
  </si>
  <si>
    <t>98370.3</t>
  </si>
  <si>
    <t>587545.0</t>
  </si>
  <si>
    <t>60164.5</t>
  </si>
  <si>
    <t>72531.9</t>
  </si>
  <si>
    <t>-20.66</t>
  </si>
  <si>
    <t>529825.0</t>
  </si>
  <si>
    <t>66387.1</t>
  </si>
  <si>
    <t>72113.0</t>
  </si>
  <si>
    <t>6799.19</t>
  </si>
  <si>
    <t>82891.0</t>
  </si>
  <si>
    <t>0.00018976</t>
  </si>
  <si>
    <t>9416.25</t>
  </si>
  <si>
    <t>69046.2</t>
  </si>
  <si>
    <t>90333.2</t>
  </si>
  <si>
    <t>5687.4</t>
  </si>
  <si>
    <t>6533360.0</t>
  </si>
  <si>
    <t>62.68</t>
  </si>
  <si>
    <t>558.16</t>
  </si>
  <si>
    <t>7357.82</t>
  </si>
  <si>
    <t>56519.0</t>
  </si>
  <si>
    <t>91724.3</t>
  </si>
  <si>
    <t>51.71</t>
  </si>
  <si>
    <t>9924.87</t>
  </si>
  <si>
    <t>71276.6</t>
  </si>
  <si>
    <t>7865.94</t>
  </si>
  <si>
    <t>-23.85</t>
  </si>
  <si>
    <t>90705.1</t>
  </si>
  <si>
    <t>7745.33</t>
  </si>
  <si>
    <t>7720.08</t>
  </si>
  <si>
    <t>55993.1</t>
  </si>
  <si>
    <t>-23.95</t>
  </si>
  <si>
    <t>7744.31</t>
  </si>
  <si>
    <t>64.63</t>
  </si>
  <si>
    <t>9626.28</t>
  </si>
  <si>
    <t>90640.7</t>
  </si>
  <si>
    <t>63177.5</t>
  </si>
  <si>
    <t>9639.76</t>
  </si>
  <si>
    <t>93424.4</t>
  </si>
  <si>
    <t>6578.56</t>
  </si>
  <si>
    <t>8918.52</t>
  </si>
  <si>
    <t>6763.94</t>
  </si>
  <si>
    <t>73250.7</t>
  </si>
  <si>
    <t>-36.11</t>
  </si>
  <si>
    <t>9005.03</t>
  </si>
  <si>
    <t>8205.48</t>
  </si>
  <si>
    <t>9649.36</t>
  </si>
  <si>
    <t>0.00000705</t>
  </si>
  <si>
    <t>0.00003368</t>
  </si>
  <si>
    <t>6927.52</t>
  </si>
  <si>
    <t>51.46</t>
  </si>
  <si>
    <t>39.38</t>
  </si>
  <si>
    <t>66959.1</t>
  </si>
  <si>
    <t>52270.6</t>
  </si>
  <si>
    <t>35.47</t>
  </si>
  <si>
    <t>76367.5</t>
  </si>
  <si>
    <t>-29.77</t>
  </si>
  <si>
    <t>5939.27</t>
  </si>
  <si>
    <t>77264.4</t>
  </si>
  <si>
    <t>-39.52</t>
  </si>
  <si>
    <t>60382.8</t>
  </si>
  <si>
    <t>37.67</t>
  </si>
  <si>
    <t>195.23</t>
  </si>
  <si>
    <t>59589.8</t>
  </si>
  <si>
    <t>-58.81</t>
  </si>
  <si>
    <t>9712.01</t>
  </si>
  <si>
    <t>-11.27</t>
  </si>
  <si>
    <t>8078.44</t>
  </si>
  <si>
    <t>-32.65</t>
  </si>
  <si>
    <t>707.558</t>
  </si>
  <si>
    <t>75234.8</t>
  </si>
  <si>
    <t>-27.48</t>
  </si>
  <si>
    <t>80952.3</t>
  </si>
  <si>
    <t>66245.0</t>
  </si>
  <si>
    <t>44.46</t>
  </si>
  <si>
    <t>630.85</t>
  </si>
  <si>
    <t>11.44</t>
  </si>
  <si>
    <t>18.54</t>
  </si>
  <si>
    <t>5243.43</t>
  </si>
  <si>
    <t>33.52</t>
  </si>
  <si>
    <t>5685.76</t>
  </si>
  <si>
    <t>-27.18</t>
  </si>
  <si>
    <t>6834.06</t>
  </si>
  <si>
    <t>5859.02</t>
  </si>
  <si>
    <t>-36.86</t>
  </si>
  <si>
    <t>952.669</t>
  </si>
  <si>
    <t>19.84</t>
  </si>
  <si>
    <t>68054.9</t>
  </si>
  <si>
    <t>143.39</t>
  </si>
  <si>
    <t>86420.8</t>
  </si>
  <si>
    <t>-37.24</t>
  </si>
  <si>
    <t>6507.43</t>
  </si>
  <si>
    <t>0.00006626</t>
  </si>
  <si>
    <t>9967.6</t>
  </si>
  <si>
    <t>933.669</t>
  </si>
  <si>
    <t>-71.37</t>
  </si>
  <si>
    <t>56956.6</t>
  </si>
  <si>
    <t>7739.57</t>
  </si>
  <si>
    <t>6030.21</t>
  </si>
  <si>
    <t>-35.9</t>
  </si>
  <si>
    <t>-23.9</t>
  </si>
  <si>
    <t>593.275</t>
  </si>
  <si>
    <t>887.368</t>
  </si>
  <si>
    <t>60044.0</t>
  </si>
  <si>
    <t>852.779</t>
  </si>
  <si>
    <t>-30.12</t>
  </si>
  <si>
    <t>628.645</t>
  </si>
  <si>
    <t>38.21</t>
  </si>
  <si>
    <t>93643.9</t>
  </si>
  <si>
    <t>50.05</t>
  </si>
  <si>
    <t>45.63</t>
  </si>
  <si>
    <t>508.087</t>
  </si>
  <si>
    <t>513.571</t>
  </si>
  <si>
    <t>833.516</t>
  </si>
  <si>
    <t>688.198</t>
  </si>
  <si>
    <t>685.529</t>
  </si>
  <si>
    <t>636.371</t>
  </si>
  <si>
    <t>554.134</t>
  </si>
  <si>
    <t>10.18</t>
  </si>
  <si>
    <t>6008.11</t>
  </si>
  <si>
    <t>100.93</t>
  </si>
  <si>
    <t>-52.21</t>
  </si>
  <si>
    <t>0.00000279</t>
  </si>
  <si>
    <t>41912450.0</t>
  </si>
  <si>
    <t>13.56</t>
  </si>
  <si>
    <t>816133118.0</t>
  </si>
  <si>
    <t>0.00009351</t>
  </si>
  <si>
    <t>4215662.0</t>
  </si>
  <si>
    <t>7077874.0</t>
  </si>
  <si>
    <t>30122960.0</t>
  </si>
  <si>
    <t>530122960.0</t>
  </si>
  <si>
    <t>27460254.0</t>
  </si>
  <si>
    <t>29460254.0</t>
  </si>
  <si>
    <t>-28.41</t>
  </si>
  <si>
    <t>25.73</t>
  </si>
  <si>
    <t>78.3887</t>
  </si>
  <si>
    <t>-29.76</t>
  </si>
  <si>
    <t>90.6075</t>
  </si>
  <si>
    <t>59.6071</t>
  </si>
  <si>
    <t>20.83</t>
  </si>
  <si>
    <t>-12.39</t>
  </si>
  <si>
    <t>8.15212</t>
  </si>
  <si>
    <t>0.00509597</t>
  </si>
  <si>
    <t>67.8708</t>
  </si>
  <si>
    <t>70.758</t>
  </si>
  <si>
    <t>76.0597</t>
  </si>
  <si>
    <t>101.58</t>
  </si>
  <si>
    <t>45.69</t>
  </si>
  <si>
    <t>-30.03</t>
  </si>
  <si>
    <t>11.83</t>
  </si>
  <si>
    <t>0.0000009192</t>
  </si>
  <si>
    <t>15.05</t>
  </si>
  <si>
    <t>8.7</t>
  </si>
  <si>
    <t>0.00000101</t>
  </si>
  <si>
    <t>492.384</t>
  </si>
  <si>
    <t>-18.58</t>
  </si>
  <si>
    <t>7.83</t>
  </si>
  <si>
    <t>36.12</t>
  </si>
  <si>
    <t>-10.73</t>
  </si>
  <si>
    <t>-48.37</t>
  </si>
  <si>
    <t>-48.3</t>
  </si>
  <si>
    <t>0.00003381</t>
  </si>
  <si>
    <t>264639363.0</t>
  </si>
  <si>
    <t>-17.94</t>
  </si>
  <si>
    <t>27.14</t>
  </si>
  <si>
    <t>0.00046311</t>
  </si>
  <si>
    <t>15.55</t>
  </si>
  <si>
    <t>-31.04</t>
  </si>
  <si>
    <t>-59.01</t>
  </si>
  <si>
    <t>37300250.0</t>
  </si>
  <si>
    <t>29245287.0</t>
  </si>
  <si>
    <t>4.17</t>
  </si>
  <si>
    <t>-4.82</t>
  </si>
  <si>
    <t>-1.86</t>
  </si>
  <si>
    <t>3.76</t>
  </si>
  <si>
    <t>-6.24</t>
  </si>
  <si>
    <t>-1.4</t>
  </si>
  <si>
    <t>-8.98</t>
  </si>
  <si>
    <t>-3.64</t>
  </si>
  <si>
    <t>0.00000410</t>
  </si>
  <si>
    <t>-1.6</t>
  </si>
  <si>
    <t>2.99</t>
  </si>
  <si>
    <t>1.9</t>
  </si>
  <si>
    <t>-2.99</t>
  </si>
  <si>
    <t>-14.89</t>
  </si>
  <si>
    <t>-22.98</t>
  </si>
  <si>
    <t>7.2</t>
  </si>
  <si>
    <t>-1.35</t>
  </si>
  <si>
    <t>-5.96</t>
  </si>
  <si>
    <t>-11.08</t>
  </si>
  <si>
    <t>27.75</t>
  </si>
  <si>
    <t>-7.18</t>
  </si>
  <si>
    <t>3.61</t>
  </si>
  <si>
    <t>-15.68</t>
  </si>
  <si>
    <t>-6.19</t>
  </si>
  <si>
    <t>-3.93</t>
  </si>
  <si>
    <t>4.13</t>
  </si>
  <si>
    <t>-2.1</t>
  </si>
  <si>
    <t>1.93</t>
  </si>
  <si>
    <t>-1.59</t>
  </si>
  <si>
    <t>0.0004999</t>
  </si>
  <si>
    <t>-2.83</t>
  </si>
  <si>
    <t>-15.14</t>
  </si>
  <si>
    <t>6.84</t>
  </si>
  <si>
    <t>4.65</t>
  </si>
  <si>
    <t>-7.16</t>
  </si>
  <si>
    <t>-13.05</t>
  </si>
  <si>
    <t>0.00004643</t>
  </si>
  <si>
    <t>5.39</t>
  </si>
  <si>
    <t>-13.62</t>
  </si>
  <si>
    <t>-3.68</t>
  </si>
  <si>
    <t>5.49</t>
  </si>
  <si>
    <t>-6.18</t>
  </si>
  <si>
    <t>1.61</t>
  </si>
  <si>
    <t>-3.9</t>
  </si>
  <si>
    <t>2.18</t>
  </si>
  <si>
    <t>-2.59</t>
  </si>
  <si>
    <t>-10.26</t>
  </si>
  <si>
    <t>-2.42</t>
  </si>
  <si>
    <t>0.00000740</t>
  </si>
  <si>
    <t>-3.62</t>
  </si>
  <si>
    <t>-7.82</t>
  </si>
  <si>
    <t>-1.29</t>
  </si>
  <si>
    <t>4.64</t>
  </si>
  <si>
    <t>-8.22</t>
  </si>
  <si>
    <t>13.78</t>
  </si>
  <si>
    <t>0.00001048</t>
  </si>
  <si>
    <t>-5.94</t>
  </si>
  <si>
    <t>0.68</t>
  </si>
  <si>
    <t>-9.6</t>
  </si>
  <si>
    <t>-6.06</t>
  </si>
  <si>
    <t>-15.07</t>
  </si>
  <si>
    <t>-29.39</t>
  </si>
  <si>
    <t>0.00000228</t>
  </si>
  <si>
    <t>-16.21</t>
  </si>
  <si>
    <t>0.00002800</t>
  </si>
  <si>
    <t>-1.22</t>
  </si>
  <si>
    <t>0.00002684</t>
  </si>
  <si>
    <t>-21.51</t>
  </si>
  <si>
    <t>0.00004715</t>
  </si>
  <si>
    <t>-6.73</t>
  </si>
  <si>
    <t>-2.68</t>
  </si>
  <si>
    <t>-13.08</t>
  </si>
  <si>
    <t>-3.2</t>
  </si>
  <si>
    <t>0.00000540</t>
  </si>
  <si>
    <t>-2.44</t>
  </si>
  <si>
    <t>-2.53</t>
  </si>
  <si>
    <t>8.31</t>
  </si>
  <si>
    <t>3.56</t>
  </si>
  <si>
    <t>7.01</t>
  </si>
  <si>
    <t>0.45</t>
  </si>
  <si>
    <t>-1.66</t>
  </si>
  <si>
    <t>-2.24</t>
  </si>
  <si>
    <t>0.00001312</t>
  </si>
  <si>
    <t>-2.5</t>
  </si>
  <si>
    <t>0.00002353</t>
  </si>
  <si>
    <t>-1.89</t>
  </si>
  <si>
    <t>1.14</t>
  </si>
  <si>
    <t>-32.16</t>
  </si>
  <si>
    <t>0.00001078</t>
  </si>
  <si>
    <t>3.92</t>
  </si>
  <si>
    <t>-24.93</t>
  </si>
  <si>
    <t>-5.61</t>
  </si>
  <si>
    <t>-18.26</t>
  </si>
  <si>
    <t>4.42</t>
  </si>
  <si>
    <t>2.35</t>
  </si>
  <si>
    <t>-3.67</t>
  </si>
  <si>
    <t>-9.36</t>
  </si>
  <si>
    <t>-6.82</t>
  </si>
  <si>
    <t>0.00006315</t>
  </si>
  <si>
    <t>-11.66</t>
  </si>
  <si>
    <t>-7.49</t>
  </si>
  <si>
    <t>0.00003315</t>
  </si>
  <si>
    <t>3.83</t>
  </si>
  <si>
    <t>-8.93</t>
  </si>
  <si>
    <t>-9.72</t>
  </si>
  <si>
    <t>-1.58</t>
  </si>
  <si>
    <t>6.23</t>
  </si>
  <si>
    <t>-7.39</t>
  </si>
  <si>
    <t>-0.29</t>
  </si>
  <si>
    <t>0.00002619</t>
  </si>
  <si>
    <t>-10.39</t>
  </si>
  <si>
    <t>0.00003440</t>
  </si>
  <si>
    <t>-10.1</t>
  </si>
  <si>
    <t>-3.23</t>
  </si>
  <si>
    <t>-8.71</t>
  </si>
  <si>
    <t>2.95</t>
  </si>
  <si>
    <t>-5.72</t>
  </si>
  <si>
    <t>4.54</t>
  </si>
  <si>
    <t>-11.28</t>
  </si>
  <si>
    <t>-8.0</t>
  </si>
  <si>
    <t>-14.39</t>
  </si>
  <si>
    <t>0.00005304</t>
  </si>
  <si>
    <t>-1.83</t>
  </si>
  <si>
    <t>-1.13</t>
  </si>
  <si>
    <t>-8.39</t>
  </si>
  <si>
    <t>3.04</t>
  </si>
  <si>
    <t>0.000246</t>
  </si>
  <si>
    <t>0.00032035</t>
  </si>
  <si>
    <t>0.00000702</t>
  </si>
  <si>
    <t>1.33</t>
  </si>
  <si>
    <t>-2.15</t>
  </si>
  <si>
    <t>-4.68</t>
  </si>
  <si>
    <t>-13.27</t>
  </si>
  <si>
    <t>-14.2</t>
  </si>
  <si>
    <t>7.42</t>
  </si>
  <si>
    <t>31.71</t>
  </si>
  <si>
    <t>0.00004730</t>
  </si>
  <si>
    <t>1.89</t>
  </si>
  <si>
    <t>-10.18</t>
  </si>
  <si>
    <t>2.64</t>
  </si>
  <si>
    <t>-11.62</t>
  </si>
  <si>
    <t>-6.01</t>
  </si>
  <si>
    <t>0.00027701</t>
  </si>
  <si>
    <t>-7.37</t>
  </si>
  <si>
    <t>-3.35</t>
  </si>
  <si>
    <t>15.22</t>
  </si>
  <si>
    <t>-2.37</t>
  </si>
  <si>
    <t>-20.31</t>
  </si>
  <si>
    <t>-5.37</t>
  </si>
  <si>
    <t>0.00066818</t>
  </si>
  <si>
    <t>0.0172801</t>
  </si>
  <si>
    <t>-2.45</t>
  </si>
  <si>
    <t>0.00007577</t>
  </si>
  <si>
    <t>0.00000034</t>
  </si>
  <si>
    <t>1.11</t>
  </si>
  <si>
    <t>4.87</t>
  </si>
  <si>
    <t>3.08</t>
  </si>
  <si>
    <t>-9.49</t>
  </si>
  <si>
    <t>5.12</t>
  </si>
  <si>
    <t>0.00002833</t>
  </si>
  <si>
    <t>-6.12</t>
  </si>
  <si>
    <t>-15.97</t>
  </si>
  <si>
    <t>0.000228</t>
  </si>
  <si>
    <t>0.00002630</t>
  </si>
  <si>
    <t>-1.94</t>
  </si>
  <si>
    <t>4.79</t>
  </si>
  <si>
    <t>8.03</t>
  </si>
  <si>
    <t>0.00000265</t>
  </si>
  <si>
    <t>-33.52</t>
  </si>
  <si>
    <t>58.7</t>
  </si>
  <si>
    <t>0.00000144</t>
  </si>
  <si>
    <t>-6.35</t>
  </si>
  <si>
    <t>12.15</t>
  </si>
  <si>
    <t>-7.23</t>
  </si>
  <si>
    <t>-25.2</t>
  </si>
  <si>
    <t>-7.03</t>
  </si>
  <si>
    <t>-6.05</t>
  </si>
  <si>
    <t>23.53</t>
  </si>
  <si>
    <t>1.37</t>
  </si>
  <si>
    <t>7.26</t>
  </si>
  <si>
    <t>-4.45</t>
  </si>
  <si>
    <t>-9.37</t>
  </si>
  <si>
    <t>0.00000752</t>
  </si>
  <si>
    <t>5.9</t>
  </si>
  <si>
    <t>0.00000129</t>
  </si>
  <si>
    <t>-13.24</t>
  </si>
  <si>
    <t>-11.49</t>
  </si>
  <si>
    <t>-5.06</t>
  </si>
  <si>
    <t>-15.87</t>
  </si>
  <si>
    <t>-19.85</t>
  </si>
  <si>
    <t>3.69</t>
  </si>
  <si>
    <t>-30.9</t>
  </si>
  <si>
    <t>-34.23</t>
  </si>
  <si>
    <t>-3.22</t>
  </si>
  <si>
    <t>4.22</t>
  </si>
  <si>
    <t>-16.94</t>
  </si>
  <si>
    <t>-6.34</t>
  </si>
  <si>
    <t>7.16</t>
  </si>
  <si>
    <t>-28.36</t>
  </si>
  <si>
    <t>-2.12</t>
  </si>
  <si>
    <t>10.25</t>
  </si>
  <si>
    <t>-1.34</t>
  </si>
  <si>
    <t>-19.46</t>
  </si>
  <si>
    <t>0.00000285</t>
  </si>
  <si>
    <t>-14.17</t>
  </si>
  <si>
    <t>-13.07</t>
  </si>
  <si>
    <t>-2.09</t>
  </si>
  <si>
    <t>7.0</t>
  </si>
  <si>
    <t>-19.4</t>
  </si>
  <si>
    <t>-9.46</t>
  </si>
  <si>
    <t>16.27</t>
  </si>
  <si>
    <t>2.93</t>
  </si>
  <si>
    <t>0.000000007</t>
  </si>
  <si>
    <t>1.4</t>
  </si>
  <si>
    <t>-2.62</t>
  </si>
  <si>
    <t>-3.69</t>
  </si>
  <si>
    <t>-14.38</t>
  </si>
  <si>
    <t>-11.76</t>
  </si>
  <si>
    <t>-31.52</t>
  </si>
  <si>
    <t>5.71</t>
  </si>
  <si>
    <t>15.79</t>
  </si>
  <si>
    <t>-18.22</t>
  </si>
  <si>
    <t>0.255617</t>
  </si>
  <si>
    <t>2.62</t>
  </si>
  <si>
    <t>-10.89</t>
  </si>
  <si>
    <t>15.74</t>
  </si>
  <si>
    <t>4.82</t>
  </si>
  <si>
    <t>1.65</t>
  </si>
  <si>
    <t>-3.6</t>
  </si>
  <si>
    <t>8.71</t>
  </si>
  <si>
    <t>12.16</t>
  </si>
  <si>
    <t>-28.27</t>
  </si>
  <si>
    <t>-10.03</t>
  </si>
  <si>
    <t>22.5</t>
  </si>
  <si>
    <t>-6.77</t>
  </si>
  <si>
    <t>5.28</t>
  </si>
  <si>
    <t>0.00000803</t>
  </si>
  <si>
    <t>-5.93</t>
  </si>
  <si>
    <t>-12.99</t>
  </si>
  <si>
    <t>32.0</t>
  </si>
  <si>
    <t>1.98</t>
  </si>
  <si>
    <t>-2.38</t>
  </si>
  <si>
    <t>14.98</t>
  </si>
  <si>
    <t>10.56</t>
  </si>
  <si>
    <t>4.8</t>
  </si>
  <si>
    <t>-11.99</t>
  </si>
  <si>
    <t>-22.28</t>
  </si>
  <si>
    <t>-9.12</t>
  </si>
  <si>
    <t>-3.33</t>
  </si>
  <si>
    <t>-10.61</t>
  </si>
  <si>
    <t>-10.02</t>
  </si>
  <si>
    <t>7.79</t>
  </si>
  <si>
    <t>14.4</t>
  </si>
  <si>
    <t>-5.44</t>
  </si>
  <si>
    <t>5.27</t>
  </si>
  <si>
    <t>-17.78</t>
  </si>
  <si>
    <t>-6.64</t>
  </si>
  <si>
    <t>5.52</t>
  </si>
  <si>
    <t>-17.09</t>
  </si>
  <si>
    <t>-12.86</t>
  </si>
  <si>
    <t>8.38</t>
  </si>
  <si>
    <t>-0.24</t>
  </si>
  <si>
    <t>0.00002778</t>
  </si>
  <si>
    <t>-23.49</t>
  </si>
  <si>
    <t>-24.13</t>
  </si>
  <si>
    <t>-13.88</t>
  </si>
  <si>
    <t>-16.12</t>
  </si>
  <si>
    <t>-3.59</t>
  </si>
  <si>
    <t>-11.7</t>
  </si>
  <si>
    <t>-3.96</t>
  </si>
  <si>
    <t>-12.29</t>
  </si>
  <si>
    <t>-1.93</t>
  </si>
  <si>
    <t>-28.23</t>
  </si>
  <si>
    <t>0.00000108</t>
  </si>
  <si>
    <t>-16.28</t>
  </si>
  <si>
    <t>2.25</t>
  </si>
  <si>
    <t>-23.41</t>
  </si>
  <si>
    <t>4.28</t>
  </si>
  <si>
    <t>-19.1</t>
  </si>
  <si>
    <t>-6.96</t>
  </si>
  <si>
    <t>-13.98</t>
  </si>
  <si>
    <t>-15.4</t>
  </si>
  <si>
    <t>-38.51</t>
  </si>
  <si>
    <t>-8.16</t>
  </si>
  <si>
    <t>2.42</t>
  </si>
  <si>
    <t>-29.95</t>
  </si>
  <si>
    <t>-4.93</t>
  </si>
  <si>
    <t>16.39</t>
  </si>
  <si>
    <t>5.23</t>
  </si>
  <si>
    <t>-21.59</t>
  </si>
  <si>
    <t>-2.74</t>
  </si>
  <si>
    <t>0.00006677</t>
  </si>
  <si>
    <t>-4.4</t>
  </si>
  <si>
    <t>5.41</t>
  </si>
  <si>
    <t>0.00000773</t>
  </si>
  <si>
    <t>-13.42</t>
  </si>
  <si>
    <t>2.59</t>
  </si>
  <si>
    <t>-10.24</t>
  </si>
  <si>
    <t>-5.58</t>
  </si>
  <si>
    <t>-14.82</t>
  </si>
  <si>
    <t>0.00084747</t>
  </si>
  <si>
    <t>-1.52</t>
  </si>
  <si>
    <t>0.0002338</t>
  </si>
  <si>
    <t>22.22</t>
  </si>
  <si>
    <t>-5.84</t>
  </si>
  <si>
    <t>-48.38</t>
  </si>
  <si>
    <t>-11.71</t>
  </si>
  <si>
    <t>10.29</t>
  </si>
  <si>
    <t>0.00011448</t>
  </si>
  <si>
    <t>16.75</t>
  </si>
  <si>
    <t>0.00001067</t>
  </si>
  <si>
    <t>-17.22</t>
  </si>
  <si>
    <t>-19.32</t>
  </si>
  <si>
    <t>-2.17</t>
  </si>
  <si>
    <t>-37.87</t>
  </si>
  <si>
    <t>-8.2</t>
  </si>
  <si>
    <t>7.37</t>
  </si>
  <si>
    <t>-13.56</t>
  </si>
  <si>
    <t>14.69</t>
  </si>
  <si>
    <t>4.71</t>
  </si>
  <si>
    <t>-5.4</t>
  </si>
  <si>
    <t>-17.08</t>
  </si>
  <si>
    <t>-18.9</t>
  </si>
  <si>
    <t>-16.57</t>
  </si>
  <si>
    <t>0.00000568</t>
  </si>
  <si>
    <t>-4.25</t>
  </si>
  <si>
    <t>4.35</t>
  </si>
  <si>
    <t>-20.06</t>
  </si>
  <si>
    <t>0.0000437764</t>
  </si>
  <si>
    <t>3.39</t>
  </si>
  <si>
    <t>1507352650</t>
  </si>
  <si>
    <t>-0.74</t>
  </si>
  <si>
    <t>8.07</t>
  </si>
  <si>
    <t>1.97</t>
  </si>
  <si>
    <t>8.24</t>
  </si>
  <si>
    <t>0.00013609</t>
  </si>
  <si>
    <t>-5.73</t>
  </si>
  <si>
    <t>-15.66</t>
  </si>
  <si>
    <t>-23.52</t>
  </si>
  <si>
    <t>-14.79</t>
  </si>
  <si>
    <t>-9.75</t>
  </si>
  <si>
    <t>2.0</t>
  </si>
  <si>
    <t>-10.06</t>
  </si>
  <si>
    <t>-4.04</t>
  </si>
  <si>
    <t>-20.56</t>
  </si>
  <si>
    <t>7.46</t>
  </si>
  <si>
    <t>3.82</t>
  </si>
  <si>
    <t>0.00009236</t>
  </si>
  <si>
    <t>8.36</t>
  </si>
  <si>
    <t>-3.94</t>
  </si>
  <si>
    <t>-9.98</t>
  </si>
  <si>
    <t>-15.29</t>
  </si>
  <si>
    <t>-20.61</t>
  </si>
  <si>
    <t>-6.23</t>
  </si>
  <si>
    <t>-13.39</t>
  </si>
  <si>
    <t>-18.52</t>
  </si>
  <si>
    <t>-1.2</t>
  </si>
  <si>
    <t>-19.73</t>
  </si>
  <si>
    <t>3.5</t>
  </si>
  <si>
    <t>-15.24</t>
  </si>
  <si>
    <t>2.11</t>
  </si>
  <si>
    <t>-2.67</t>
  </si>
  <si>
    <t>4.09</t>
  </si>
  <si>
    <t>0.00012741</t>
  </si>
  <si>
    <t>-5.8</t>
  </si>
  <si>
    <t>-8.29</t>
  </si>
  <si>
    <t>0.00001051</t>
  </si>
  <si>
    <t>-15.33</t>
  </si>
  <si>
    <t>-25.96</t>
  </si>
  <si>
    <t>0.0003219</t>
  </si>
  <si>
    <t>-15.82</t>
  </si>
  <si>
    <t>-12.68</t>
  </si>
  <si>
    <t>7.08</t>
  </si>
  <si>
    <t>-0.82</t>
  </si>
  <si>
    <t>-3.76</t>
  </si>
  <si>
    <t>-6.29</t>
  </si>
  <si>
    <t>3.22</t>
  </si>
  <si>
    <t>-9.79</t>
  </si>
  <si>
    <t>-14.57</t>
  </si>
  <si>
    <t>0.00004354</t>
  </si>
  <si>
    <t>-22.27</t>
  </si>
  <si>
    <t>-0.87</t>
  </si>
  <si>
    <t>13.71</t>
  </si>
  <si>
    <t>-6.76</t>
  </si>
  <si>
    <t>-8.44</t>
  </si>
  <si>
    <t>-5.92</t>
  </si>
  <si>
    <t>-1.8</t>
  </si>
  <si>
    <t>-14.75</t>
  </si>
  <si>
    <t>4.05</t>
  </si>
  <si>
    <t>-18.04</t>
  </si>
  <si>
    <t>0.00006515</t>
  </si>
  <si>
    <t>2.58</t>
  </si>
  <si>
    <t>0.00000516</t>
  </si>
  <si>
    <t>3.93</t>
  </si>
  <si>
    <t>13.57</t>
  </si>
  <si>
    <t>-6.99</t>
  </si>
  <si>
    <t>3.02</t>
  </si>
  <si>
    <t>16.94</t>
  </si>
  <si>
    <t>-21.26</t>
  </si>
  <si>
    <t>0.00047231</t>
  </si>
  <si>
    <t>-11.4</t>
  </si>
  <si>
    <t>-24.73</t>
  </si>
  <si>
    <t>-11.36</t>
  </si>
  <si>
    <t>-20.4</t>
  </si>
  <si>
    <t>2.57</t>
  </si>
  <si>
    <t>-11.19</t>
  </si>
  <si>
    <t>1.32</t>
  </si>
  <si>
    <t>0.00002722</t>
  </si>
  <si>
    <t>-5.49</t>
  </si>
  <si>
    <t>-7.52</t>
  </si>
  <si>
    <t>-14.44</t>
  </si>
  <si>
    <t>-14.15</t>
  </si>
  <si>
    <t>-37.5</t>
  </si>
  <si>
    <t>0.00000708</t>
  </si>
  <si>
    <t>3.75</t>
  </si>
  <si>
    <t>-8.75</t>
  </si>
  <si>
    <t>0.00009583</t>
  </si>
  <si>
    <t>0.00001253</t>
  </si>
  <si>
    <t>0.00000099</t>
  </si>
  <si>
    <t>0.00004157</t>
  </si>
  <si>
    <t>-16.14</t>
  </si>
  <si>
    <t>-39.48</t>
  </si>
  <si>
    <t>6.04</t>
  </si>
  <si>
    <t>0.00000395</t>
  </si>
  <si>
    <t>-15.92</t>
  </si>
  <si>
    <t>-2.6</t>
  </si>
  <si>
    <t>-12.84</t>
  </si>
  <si>
    <t>-4.58</t>
  </si>
  <si>
    <t>-1.26</t>
  </si>
  <si>
    <t>-10.64</t>
  </si>
  <si>
    <t>-3.51</t>
  </si>
  <si>
    <t>-20.16</t>
  </si>
  <si>
    <t>-16.33</t>
  </si>
  <si>
    <t>-5.91</t>
  </si>
  <si>
    <t>0.00002700</t>
  </si>
  <si>
    <t>-4.06</t>
  </si>
  <si>
    <t>-19.38</t>
  </si>
  <si>
    <t>-19.61</t>
  </si>
  <si>
    <t>-13.99</t>
  </si>
  <si>
    <t>-33.1</t>
  </si>
  <si>
    <t>0.00000385</t>
  </si>
  <si>
    <t>23.1</t>
  </si>
  <si>
    <t>-8.47</t>
  </si>
  <si>
    <t>14.57</t>
  </si>
  <si>
    <t>12.84</t>
  </si>
  <si>
    <t>8.57</t>
  </si>
  <si>
    <t>-9.52</t>
  </si>
  <si>
    <t>-0.9</t>
  </si>
  <si>
    <t>0.068899</t>
  </si>
  <si>
    <t>0.00001574</t>
  </si>
  <si>
    <t>1056.27</t>
  </si>
  <si>
    <t>1.83</t>
  </si>
  <si>
    <t>0.00000795</t>
  </si>
  <si>
    <t>-7.78</t>
  </si>
  <si>
    <t>-21.98</t>
  </si>
  <si>
    <t>-23.56</t>
  </si>
  <si>
    <t>-5.24</t>
  </si>
  <si>
    <t>-19.96</t>
  </si>
  <si>
    <t>-7.05</t>
  </si>
  <si>
    <t>43.3</t>
  </si>
  <si>
    <t>0.00000081</t>
  </si>
  <si>
    <t>19.62</t>
  </si>
  <si>
    <t>-10.25</t>
  </si>
  <si>
    <t>31.21</t>
  </si>
  <si>
    <t>3.73</t>
  </si>
  <si>
    <t>8.4</t>
  </si>
  <si>
    <t>-47.62</t>
  </si>
  <si>
    <t>17.31</t>
  </si>
  <si>
    <t>10.97</t>
  </si>
  <si>
    <t>-7.87</t>
  </si>
  <si>
    <t>-30.34</t>
  </si>
  <si>
    <t>-4.85</t>
  </si>
  <si>
    <t>16.16</t>
  </si>
  <si>
    <t>-12.59</t>
  </si>
  <si>
    <t>-21.25</t>
  </si>
  <si>
    <t>-23.19</t>
  </si>
  <si>
    <t>24.72</t>
  </si>
  <si>
    <t>10.82</t>
  </si>
  <si>
    <t>0.0137088</t>
  </si>
  <si>
    <t>15.2804</t>
  </si>
  <si>
    <t>-13.97</t>
  </si>
  <si>
    <t>-1.78</t>
  </si>
  <si>
    <t>-13.78</t>
  </si>
  <si>
    <t>10.51</t>
  </si>
  <si>
    <t>41.78</t>
  </si>
  <si>
    <t>6.73</t>
  </si>
  <si>
    <t>5.21</t>
  </si>
  <si>
    <t>-23.0</t>
  </si>
  <si>
    <t>1.12</t>
  </si>
  <si>
    <t>5.68</t>
  </si>
  <si>
    <t>3.38</t>
  </si>
  <si>
    <t>-9.07</t>
  </si>
  <si>
    <t>20.69</t>
  </si>
  <si>
    <t>6.77</t>
  </si>
  <si>
    <t>-20.49</t>
  </si>
  <si>
    <t>14.24</t>
  </si>
  <si>
    <t>3.65</t>
  </si>
  <si>
    <t>12.52</t>
  </si>
  <si>
    <t>-22.8</t>
  </si>
  <si>
    <t>-19.13</t>
  </si>
  <si>
    <t>-13.35</t>
  </si>
  <si>
    <t>-4.1</t>
  </si>
  <si>
    <t>24.29</t>
  </si>
  <si>
    <t>0.00000322</t>
  </si>
  <si>
    <t>-8.26</t>
  </si>
  <si>
    <t>22.04</t>
  </si>
  <si>
    <t>7.92</t>
  </si>
  <si>
    <t>-12.74</t>
  </si>
  <si>
    <t>4.86</t>
  </si>
  <si>
    <t>6.61</t>
  </si>
  <si>
    <t>-5.66</t>
  </si>
  <si>
    <t>0.00015556</t>
  </si>
  <si>
    <t>7.88</t>
  </si>
  <si>
    <t>-8.23</t>
  </si>
  <si>
    <t>90.55</t>
  </si>
  <si>
    <t>0.00000954</t>
  </si>
  <si>
    <t>-2.93</t>
  </si>
  <si>
    <t>109.57</t>
  </si>
  <si>
    <t>-21.18</t>
  </si>
  <si>
    <t>4.89</t>
  </si>
  <si>
    <t>26.49</t>
  </si>
  <si>
    <t>18.34</t>
  </si>
  <si>
    <t>9.19</t>
  </si>
  <si>
    <t>42.81</t>
  </si>
  <si>
    <t>0.00000529</t>
  </si>
  <si>
    <t>763.243</t>
  </si>
  <si>
    <t>-17.98</t>
  </si>
  <si>
    <t>17.1</t>
  </si>
  <si>
    <t>15.61</t>
  </si>
  <si>
    <t>-22.61</t>
  </si>
  <si>
    <t>8.48</t>
  </si>
  <si>
    <t>-30.51</t>
  </si>
  <si>
    <t>-7.9</t>
  </si>
  <si>
    <t>-14.16</t>
  </si>
  <si>
    <t>-19.51</t>
  </si>
  <si>
    <t>0.029877</t>
  </si>
  <si>
    <t>12.5295</t>
  </si>
  <si>
    <t>-11.86</t>
  </si>
  <si>
    <t>-20.14</t>
  </si>
  <si>
    <t>8.61</t>
  </si>
  <si>
    <t>16.22</t>
  </si>
  <si>
    <t>(blank)</t>
  </si>
  <si>
    <t>Sum of Coin.market_cap_usd</t>
  </si>
  <si>
    <t>-5.53</t>
  </si>
  <si>
    <t>2600160000.0</t>
  </si>
  <si>
    <t>-6.88</t>
  </si>
  <si>
    <t>27.54</t>
  </si>
  <si>
    <t>-3.16</t>
  </si>
  <si>
    <t>-8.63</t>
  </si>
  <si>
    <t>-21.38</t>
  </si>
  <si>
    <t>-19.9</t>
  </si>
  <si>
    <t>0.00157309</t>
  </si>
  <si>
    <t>1977787.0</t>
  </si>
  <si>
    <t>218168289.0</t>
  </si>
  <si>
    <t>1.29</t>
  </si>
  <si>
    <t>-2.98</t>
  </si>
  <si>
    <t>-23.17</t>
  </si>
  <si>
    <t>-6.07</t>
  </si>
  <si>
    <t>48870600.0</t>
  </si>
  <si>
    <t>-8.72</t>
  </si>
  <si>
    <t>101287.0</t>
  </si>
  <si>
    <t>2428230.0</t>
  </si>
  <si>
    <t>0.00000372</t>
  </si>
  <si>
    <t>-14.53</t>
  </si>
  <si>
    <t>3130310.0</t>
  </si>
  <si>
    <t>6.15</t>
  </si>
  <si>
    <t>-12.07</t>
  </si>
  <si>
    <t>-8.57</t>
  </si>
  <si>
    <t>35944937.0</t>
  </si>
  <si>
    <t>4.95</t>
  </si>
  <si>
    <t>-13.94</t>
  </si>
  <si>
    <t>-58.13</t>
  </si>
  <si>
    <t>11.18</t>
  </si>
  <si>
    <t>17006194.0</t>
  </si>
  <si>
    <t>0.00001176</t>
  </si>
  <si>
    <t>104726.0</t>
  </si>
  <si>
    <t>5575877.0</t>
  </si>
  <si>
    <t>-33.39</t>
  </si>
  <si>
    <t>-12.36</t>
  </si>
  <si>
    <t>-6.33</t>
  </si>
  <si>
    <t>-21.72</t>
  </si>
  <si>
    <t>-13.1</t>
  </si>
  <si>
    <t>-9.78</t>
  </si>
  <si>
    <t>0.00000212</t>
  </si>
  <si>
    <t>10.43</t>
  </si>
  <si>
    <t>19990225.0</t>
  </si>
  <si>
    <t>-29.5</t>
  </si>
  <si>
    <t>0.00005466</t>
  </si>
  <si>
    <t>-17.99</t>
  </si>
  <si>
    <t>2949158.0</t>
  </si>
  <si>
    <t>-11.74</t>
  </si>
  <si>
    <t>485109418.0</t>
  </si>
  <si>
    <t>10.85</t>
  </si>
  <si>
    <t>-0.76</t>
  </si>
  <si>
    <t>8.66</t>
  </si>
  <si>
    <t>-13.74</t>
  </si>
  <si>
    <t>-18.65</t>
  </si>
  <si>
    <t>15.02</t>
  </si>
  <si>
    <t>-11.34</t>
  </si>
  <si>
    <t>-9.81</t>
  </si>
  <si>
    <t>31.89</t>
  </si>
  <si>
    <t>10.17</t>
  </si>
  <si>
    <t>-29.93</t>
  </si>
  <si>
    <t>-14.18</t>
  </si>
  <si>
    <t>11.99</t>
  </si>
  <si>
    <t>-5.17</t>
  </si>
  <si>
    <t>425095.0</t>
  </si>
  <si>
    <t>-12.37</t>
  </si>
  <si>
    <t>-7.48</t>
  </si>
  <si>
    <t>-19.17</t>
  </si>
  <si>
    <t>0.0000001637</t>
  </si>
  <si>
    <t>-21.47</t>
  </si>
  <si>
    <t>4.67</t>
  </si>
  <si>
    <t>-26.6</t>
  </si>
  <si>
    <t>0.00002442</t>
  </si>
  <si>
    <t>34.48</t>
  </si>
  <si>
    <t>9.05</t>
  </si>
  <si>
    <t>-11.9</t>
  </si>
  <si>
    <t>-16.05</t>
  </si>
  <si>
    <t>-11.78</t>
  </si>
  <si>
    <t>0.00006693</t>
  </si>
  <si>
    <t>-20.8</t>
  </si>
  <si>
    <t>-4.92</t>
  </si>
  <si>
    <t>0.00020666</t>
  </si>
  <si>
    <t>3156946.0</t>
  </si>
  <si>
    <t>0.00001052</t>
  </si>
  <si>
    <t>-15.15</t>
  </si>
  <si>
    <t>8.35</t>
  </si>
  <si>
    <t>0.00000733</t>
  </si>
  <si>
    <t>0.00005993</t>
  </si>
  <si>
    <t>-5.09</t>
  </si>
  <si>
    <t>17.35</t>
  </si>
  <si>
    <t>-10.99</t>
  </si>
  <si>
    <t>3.25</t>
  </si>
  <si>
    <t>-16.47</t>
  </si>
  <si>
    <t>0.00000517</t>
  </si>
  <si>
    <t>13.17</t>
  </si>
  <si>
    <t>-12.7</t>
  </si>
  <si>
    <t>-7.65</t>
  </si>
  <si>
    <t>0.00000438</t>
  </si>
  <si>
    <t>4.73</t>
  </si>
  <si>
    <t>0.00004543</t>
  </si>
  <si>
    <t>-10.09</t>
  </si>
  <si>
    <t>-11.33</t>
  </si>
  <si>
    <t>0.119129</t>
  </si>
  <si>
    <t>2057.5</t>
  </si>
  <si>
    <t>-5.45</t>
  </si>
  <si>
    <t>42.6</t>
  </si>
  <si>
    <t>-11.79</t>
  </si>
  <si>
    <t>5.66</t>
  </si>
  <si>
    <t>-2.63</t>
  </si>
  <si>
    <t>0.00000389</t>
  </si>
  <si>
    <t>-17.37</t>
  </si>
  <si>
    <t>0.00000356</t>
  </si>
  <si>
    <t>0.00002509</t>
  </si>
  <si>
    <t>10.6</t>
  </si>
  <si>
    <t>-54.5</t>
  </si>
  <si>
    <t>8.65</t>
  </si>
  <si>
    <t>-5.62</t>
  </si>
  <si>
    <t>4.25</t>
  </si>
  <si>
    <t>0.00015523</t>
  </si>
  <si>
    <t>3975465.0</t>
  </si>
  <si>
    <t>-30.22</t>
  </si>
  <si>
    <t>0.00000877</t>
  </si>
  <si>
    <t>8.47</t>
  </si>
  <si>
    <t>8.77</t>
  </si>
  <si>
    <t>61095975.0</t>
  </si>
  <si>
    <t>1039560.0</t>
  </si>
  <si>
    <t>-6.78</t>
  </si>
  <si>
    <t>-4.32</t>
  </si>
  <si>
    <t>24790200.0</t>
  </si>
  <si>
    <t>13.46</t>
  </si>
  <si>
    <t>-21.74</t>
  </si>
  <si>
    <t>8847750.0</t>
  </si>
  <si>
    <t>25447750.0</t>
  </si>
  <si>
    <t>-22.68</t>
  </si>
  <si>
    <t>2261479.0</t>
  </si>
  <si>
    <t>665001.0</t>
  </si>
  <si>
    <t>8165001.0</t>
  </si>
  <si>
    <t>-37.35</t>
  </si>
  <si>
    <t>-26.29</t>
  </si>
  <si>
    <t>-32.43</t>
  </si>
  <si>
    <t>0.00001825</t>
  </si>
  <si>
    <t>-5.25</t>
  </si>
  <si>
    <t>0.00000590</t>
  </si>
  <si>
    <t>11.37</t>
  </si>
  <si>
    <t>20982525.0</t>
  </si>
  <si>
    <t>-14.23</t>
  </si>
  <si>
    <t>0.00000818</t>
  </si>
  <si>
    <t>5.29</t>
  </si>
  <si>
    <t>-11.01</t>
  </si>
  <si>
    <t>6.85</t>
  </si>
  <si>
    <t>9703197.0</t>
  </si>
  <si>
    <t>-2.48</t>
  </si>
  <si>
    <t>-5.32</t>
  </si>
  <si>
    <t>0.00000545</t>
  </si>
  <si>
    <t>-10.07</t>
  </si>
  <si>
    <t>3.09</t>
  </si>
  <si>
    <t>-24.45</t>
  </si>
  <si>
    <t>-22.19</t>
  </si>
  <si>
    <t>-28.16</t>
  </si>
  <si>
    <t>-88.11</t>
  </si>
  <si>
    <t>-4.11</t>
  </si>
  <si>
    <t>0.00003375</t>
  </si>
  <si>
    <t>-6.71</t>
  </si>
  <si>
    <t>4.31</t>
  </si>
  <si>
    <t>26.47</t>
  </si>
  <si>
    <t>14.2</t>
  </si>
  <si>
    <t>-27.69</t>
  </si>
  <si>
    <t>0.00328577</t>
  </si>
  <si>
    <t>37.42</t>
  </si>
  <si>
    <t>-16.98</t>
  </si>
  <si>
    <t>-98.37</t>
  </si>
  <si>
    <t>-20.85</t>
  </si>
  <si>
    <t>6.79</t>
  </si>
  <si>
    <t>0.00005150</t>
  </si>
  <si>
    <t>0.00245933</t>
  </si>
  <si>
    <t>1.73</t>
  </si>
  <si>
    <t>0.0439945</t>
  </si>
  <si>
    <t>2.08</t>
  </si>
  <si>
    <t>5.19</t>
  </si>
  <si>
    <t>-3.79</t>
  </si>
  <si>
    <t>0.00007732</t>
  </si>
  <si>
    <t>-22.11</t>
  </si>
  <si>
    <t>-5.6</t>
  </si>
  <si>
    <t>-15.95</t>
  </si>
  <si>
    <t>-18.23</t>
  </si>
  <si>
    <t>11.94</t>
  </si>
  <si>
    <t>2.54</t>
  </si>
  <si>
    <t>3.54</t>
  </si>
  <si>
    <t>0.00000281</t>
  </si>
  <si>
    <t>-24.5</t>
  </si>
  <si>
    <t>-7.3</t>
  </si>
  <si>
    <t>0.00007403</t>
  </si>
  <si>
    <t>0.00023781</t>
  </si>
  <si>
    <t>0.00004242</t>
  </si>
  <si>
    <t>-16.03</t>
  </si>
  <si>
    <t>0.00003436</t>
  </si>
  <si>
    <t>-24.91</t>
  </si>
  <si>
    <t>-25.93</t>
  </si>
  <si>
    <t>-5.59</t>
  </si>
  <si>
    <t>0.00000998</t>
  </si>
  <si>
    <t>-12.88</t>
  </si>
  <si>
    <t>-17.44</t>
  </si>
  <si>
    <t>100.97</t>
  </si>
  <si>
    <t>5.4</t>
  </si>
  <si>
    <t>0.00000414</t>
  </si>
  <si>
    <t>-16.62</t>
  </si>
  <si>
    <t>-9.76</t>
  </si>
  <si>
    <t>0.00000053</t>
  </si>
  <si>
    <t>0.00003306</t>
  </si>
  <si>
    <t>-24.89</t>
  </si>
  <si>
    <t>0.00000628</t>
  </si>
  <si>
    <t>5.72</t>
  </si>
  <si>
    <t>9.91</t>
  </si>
  <si>
    <t>6.54</t>
  </si>
  <si>
    <t>7.56</t>
  </si>
  <si>
    <t>-11.73</t>
  </si>
  <si>
    <t>7.71</t>
  </si>
  <si>
    <t>-9.82</t>
  </si>
  <si>
    <t>10.33</t>
  </si>
  <si>
    <t>5.25</t>
  </si>
  <si>
    <t>9.41</t>
  </si>
  <si>
    <t>-25.56</t>
  </si>
  <si>
    <t>-37.32</t>
  </si>
  <si>
    <t>-13.45</t>
  </si>
  <si>
    <t>-3.53</t>
  </si>
  <si>
    <t>-36.24</t>
  </si>
  <si>
    <t>-7.27</t>
  </si>
  <si>
    <t>12.32</t>
  </si>
  <si>
    <t>0.00000223</t>
  </si>
  <si>
    <t>-18.28</t>
  </si>
  <si>
    <t>30.38</t>
  </si>
  <si>
    <t>2.23</t>
  </si>
  <si>
    <t>-6.27</t>
  </si>
  <si>
    <t>0.00000589</t>
  </si>
  <si>
    <t>-6.57</t>
  </si>
  <si>
    <t>-29.1</t>
  </si>
  <si>
    <t>-21.48</t>
  </si>
  <si>
    <t>0.00000417</t>
  </si>
  <si>
    <t>10.7</t>
  </si>
  <si>
    <t>7.09</t>
  </si>
  <si>
    <t>6.86</t>
  </si>
  <si>
    <t>-17.64</t>
  </si>
  <si>
    <t>-6.4</t>
  </si>
  <si>
    <t>1507353862</t>
  </si>
  <si>
    <t>-10.98</t>
  </si>
  <si>
    <t>3.07</t>
  </si>
  <si>
    <t>-4.42</t>
  </si>
  <si>
    <t>0.152922</t>
  </si>
  <si>
    <t>-20.89</t>
  </si>
  <si>
    <t>-15.99</t>
  </si>
  <si>
    <t>21.3</t>
  </si>
  <si>
    <t>-18.3</t>
  </si>
  <si>
    <t>0.0157689</t>
  </si>
  <si>
    <t>-16.52</t>
  </si>
  <si>
    <t>0.00000405</t>
  </si>
  <si>
    <t>-6.74</t>
  </si>
  <si>
    <t>8.42</t>
  </si>
  <si>
    <t>31.82</t>
  </si>
  <si>
    <t>0.00000709</t>
  </si>
  <si>
    <t>-11.54</t>
  </si>
  <si>
    <t>28.73</t>
  </si>
  <si>
    <t>-20.64</t>
  </si>
  <si>
    <t>5.61</t>
  </si>
  <si>
    <t>8.18</t>
  </si>
  <si>
    <t>0.00073048</t>
  </si>
  <si>
    <t>0.00001217</t>
  </si>
  <si>
    <t>0.00003025</t>
  </si>
  <si>
    <t>-24.52</t>
  </si>
  <si>
    <t>-15.17</t>
  </si>
  <si>
    <t>0.00004100</t>
  </si>
  <si>
    <t>14.49</t>
  </si>
  <si>
    <t>-27.41</t>
  </si>
  <si>
    <t>-26.35</t>
  </si>
  <si>
    <t>-53.15</t>
  </si>
  <si>
    <t>6.63</t>
  </si>
  <si>
    <t>-14.74</t>
  </si>
  <si>
    <t>0.131407</t>
  </si>
  <si>
    <t>-47.55</t>
  </si>
  <si>
    <t>85.97</t>
  </si>
  <si>
    <t>27.63</t>
  </si>
  <si>
    <t>0.00000663</t>
  </si>
  <si>
    <t>3.62</t>
  </si>
  <si>
    <t>41.3</t>
  </si>
  <si>
    <t>-41.09</t>
  </si>
  <si>
    <t>-50.3</t>
  </si>
  <si>
    <t>0.00558262</t>
  </si>
  <si>
    <t>-7.83</t>
  </si>
  <si>
    <t>0.0001249</t>
  </si>
  <si>
    <t>0.00072041</t>
  </si>
  <si>
    <t>-7.94</t>
  </si>
  <si>
    <t>0.00003753</t>
  </si>
  <si>
    <t>-10.66</t>
  </si>
  <si>
    <t>0.00013623</t>
  </si>
  <si>
    <t>0.00031847</t>
  </si>
  <si>
    <t>-4.96</t>
  </si>
  <si>
    <t>-10.81</t>
  </si>
  <si>
    <t>0.00003777</t>
  </si>
  <si>
    <t>-9.62</t>
  </si>
  <si>
    <t>5.79</t>
  </si>
  <si>
    <t>8.01</t>
  </si>
  <si>
    <t>-22.52</t>
  </si>
  <si>
    <t>15.85</t>
  </si>
  <si>
    <t>2.87654</t>
  </si>
  <si>
    <t>0.0001293</t>
  </si>
  <si>
    <t>2.38</t>
  </si>
  <si>
    <t>17.82</t>
  </si>
  <si>
    <t>0.00004510</t>
  </si>
  <si>
    <t>0.00013211</t>
  </si>
  <si>
    <t>0.00027817</t>
  </si>
  <si>
    <t>0.00014458</t>
  </si>
  <si>
    <t>34.35</t>
  </si>
  <si>
    <t>26848.6</t>
  </si>
  <si>
    <t>0.00011346</t>
  </si>
  <si>
    <t>0.00004089</t>
  </si>
  <si>
    <t>-24.47</t>
  </si>
  <si>
    <t>-10.46</t>
  </si>
  <si>
    <t>0.00002105</t>
  </si>
  <si>
    <t>7.51</t>
  </si>
  <si>
    <t>-68.93</t>
  </si>
  <si>
    <t>0.00000350</t>
  </si>
  <si>
    <t>0.00010273</t>
  </si>
  <si>
    <t>2.4</t>
  </si>
  <si>
    <t>9.65</t>
  </si>
  <si>
    <t>-15.41</t>
  </si>
  <si>
    <t>-7.86</t>
  </si>
  <si>
    <t>0.00001134</t>
  </si>
  <si>
    <t>-26.01</t>
  </si>
  <si>
    <t>1.01023</t>
  </si>
  <si>
    <t>-6.04</t>
  </si>
  <si>
    <t>0.00005358</t>
  </si>
  <si>
    <t>-19.87</t>
  </si>
  <si>
    <t>0.00002386</t>
  </si>
  <si>
    <t>0.0159767</t>
  </si>
  <si>
    <t>-18.36</t>
  </si>
  <si>
    <t>0.00001879</t>
  </si>
  <si>
    <t>0.00005972</t>
  </si>
  <si>
    <t>37.39</t>
  </si>
  <si>
    <t>-9.68</t>
  </si>
  <si>
    <t>-16.08</t>
  </si>
  <si>
    <t>-20.65</t>
  </si>
  <si>
    <t>-25.13</t>
  </si>
  <si>
    <t>0.00007708</t>
  </si>
  <si>
    <t>-20.84</t>
  </si>
  <si>
    <t>0.00002724</t>
  </si>
  <si>
    <t>0.000994764</t>
  </si>
  <si>
    <t>0.00001164</t>
  </si>
  <si>
    <t>58.88</t>
  </si>
  <si>
    <t>-9.53</t>
  </si>
  <si>
    <t>9.56</t>
  </si>
  <si>
    <t>-39.15</t>
  </si>
  <si>
    <t>0.00012821</t>
  </si>
  <si>
    <t>0.00000554</t>
  </si>
  <si>
    <t>0.000811892</t>
  </si>
  <si>
    <t>60.32</t>
  </si>
  <si>
    <t>-23.48</t>
  </si>
  <si>
    <t>13.81</t>
  </si>
  <si>
    <t>16.03</t>
  </si>
  <si>
    <t>17.2</t>
  </si>
  <si>
    <t>10.53</t>
  </si>
  <si>
    <t>3.29</t>
  </si>
  <si>
    <t>45.85</t>
  </si>
  <si>
    <t>0.00005118</t>
  </si>
  <si>
    <t>-16.51</t>
  </si>
  <si>
    <t>10.5553</t>
  </si>
  <si>
    <t>-48.06</t>
  </si>
  <si>
    <t>-22.07</t>
  </si>
  <si>
    <t>86.16</t>
  </si>
  <si>
    <t>-12.43</t>
  </si>
  <si>
    <t>-19.89</t>
  </si>
  <si>
    <t>43.55</t>
  </si>
  <si>
    <t>4.46</t>
  </si>
  <si>
    <t>14.46</t>
  </si>
  <si>
    <t>6.29</t>
  </si>
  <si>
    <t>14.87</t>
  </si>
  <si>
    <t>21.17</t>
  </si>
  <si>
    <t>10.87</t>
  </si>
  <si>
    <t>0.00000242</t>
  </si>
  <si>
    <t>0.00005840</t>
  </si>
  <si>
    <t>-23.87</t>
  </si>
  <si>
    <t>-29.98</t>
  </si>
  <si>
    <t>-16.84</t>
  </si>
  <si>
    <t>-10.83</t>
  </si>
  <si>
    <t>41.65</t>
  </si>
  <si>
    <t>-20.69</t>
  </si>
  <si>
    <t>-17.8</t>
  </si>
  <si>
    <t>0.00000498</t>
  </si>
  <si>
    <t>-29.59</t>
  </si>
  <si>
    <t>-6.59</t>
  </si>
  <si>
    <t>-19.54</t>
  </si>
  <si>
    <t>-34.45</t>
  </si>
  <si>
    <t>-15.51</t>
  </si>
  <si>
    <t>-54.95</t>
  </si>
  <si>
    <t>17.83</t>
  </si>
  <si>
    <t>4.72</t>
  </si>
  <si>
    <t>0.00000139</t>
  </si>
  <si>
    <t>-54.98</t>
  </si>
  <si>
    <t>0.00011685</t>
  </si>
  <si>
    <t>0.00000470</t>
  </si>
  <si>
    <t>0.00001178</t>
  </si>
  <si>
    <t>-16.87</t>
  </si>
  <si>
    <t>0.0000000405</t>
  </si>
  <si>
    <t>0.00122561</t>
  </si>
  <si>
    <t>122.345</t>
  </si>
  <si>
    <t>27.86</t>
  </si>
  <si>
    <t>-12.69</t>
  </si>
  <si>
    <t>-15.54</t>
  </si>
  <si>
    <t>2.5</t>
  </si>
  <si>
    <t>43.58</t>
  </si>
  <si>
    <t>8.52</t>
  </si>
  <si>
    <t>16.55</t>
  </si>
  <si>
    <t>19.32</t>
  </si>
  <si>
    <t>0.00000354</t>
  </si>
  <si>
    <t>2.6</t>
  </si>
  <si>
    <t>11.81</t>
  </si>
  <si>
    <t>-39.61</t>
  </si>
  <si>
    <t>0.00008012</t>
  </si>
  <si>
    <t>60.27</t>
  </si>
  <si>
    <t>0.00006600</t>
  </si>
  <si>
    <t>-22.14</t>
  </si>
  <si>
    <t>0.00004650</t>
  </si>
  <si>
    <t>-24.94</t>
  </si>
  <si>
    <t>-53.74</t>
  </si>
  <si>
    <t>-5.79</t>
  </si>
  <si>
    <t>17.49</t>
  </si>
  <si>
    <t>-14.6</t>
  </si>
  <si>
    <t>17.7791</t>
  </si>
  <si>
    <t>0.00000597</t>
  </si>
  <si>
    <t>0.00061757</t>
  </si>
  <si>
    <t>9.31</t>
  </si>
  <si>
    <t>1467590.0</t>
  </si>
  <si>
    <t>0.00011323</t>
  </si>
  <si>
    <t>-9.43</t>
  </si>
  <si>
    <t>0.00034384</t>
  </si>
  <si>
    <t>0.00008686</t>
  </si>
  <si>
    <t>-21.56</t>
  </si>
  <si>
    <t>-9.59</t>
  </si>
  <si>
    <t>20.96</t>
  </si>
  <si>
    <t>17.41</t>
  </si>
  <si>
    <t>0.00149689</t>
  </si>
  <si>
    <t>-9.87</t>
  </si>
  <si>
    <t>0.00063002</t>
  </si>
  <si>
    <t>0.00215</t>
  </si>
  <si>
    <t>0.00002654</t>
  </si>
  <si>
    <t>0.00014763</t>
  </si>
  <si>
    <t>0.00001425</t>
  </si>
  <si>
    <t>0.00039229</t>
  </si>
  <si>
    <t>0.00500642</t>
  </si>
  <si>
    <t>-25.43</t>
  </si>
  <si>
    <t>0.00036099</t>
  </si>
  <si>
    <t>-18.75</t>
  </si>
  <si>
    <t>0.00000220</t>
  </si>
  <si>
    <t>0.0005364</t>
  </si>
  <si>
    <t>0.00017804</t>
  </si>
  <si>
    <t>0.00000561</t>
  </si>
  <si>
    <t>0.00015392</t>
  </si>
  <si>
    <t>0.0117675</t>
  </si>
  <si>
    <t>-12.89</t>
  </si>
  <si>
    <t>-12.93</t>
  </si>
  <si>
    <t>0.00156322</t>
  </si>
  <si>
    <t>0.00044119</t>
  </si>
  <si>
    <t>0.00001678</t>
  </si>
  <si>
    <t>0.00002307</t>
  </si>
  <si>
    <t>0.00005040</t>
  </si>
  <si>
    <t>-10.87</t>
  </si>
  <si>
    <t>-12.24</t>
  </si>
  <si>
    <t>0.00002400</t>
  </si>
  <si>
    <t>0.00004796</t>
  </si>
  <si>
    <t>20.02</t>
  </si>
  <si>
    <t>0.00000710</t>
  </si>
  <si>
    <t>0.00000610</t>
  </si>
  <si>
    <t>-8.95</t>
  </si>
  <si>
    <t>-18.29</t>
  </si>
  <si>
    <t>0.00000688</t>
  </si>
  <si>
    <t>12.53</t>
  </si>
  <si>
    <t>0.00001065</t>
  </si>
  <si>
    <t>0.00004760</t>
  </si>
  <si>
    <t>-59.43</t>
  </si>
  <si>
    <t>-16.85</t>
  </si>
  <si>
    <t>0.00015399</t>
  </si>
  <si>
    <t>-67.83</t>
  </si>
  <si>
    <t>0.00027606</t>
  </si>
  <si>
    <t>-42.75</t>
  </si>
  <si>
    <t>1159.48</t>
  </si>
  <si>
    <t>-77.07</t>
  </si>
  <si>
    <t>0.00002254</t>
  </si>
  <si>
    <t>0.0000155676</t>
  </si>
  <si>
    <t>-26.84</t>
  </si>
  <si>
    <t>0.00000736</t>
  </si>
  <si>
    <t>0.00003590</t>
  </si>
  <si>
    <t>0.0000019654</t>
  </si>
  <si>
    <t>-4.55</t>
  </si>
  <si>
    <t>-34.36</t>
  </si>
  <si>
    <t>5.89</t>
  </si>
  <si>
    <t>571.913</t>
  </si>
  <si>
    <t>6.74</t>
  </si>
  <si>
    <t>10.91</t>
  </si>
  <si>
    <t>19.38</t>
  </si>
  <si>
    <t>13.84</t>
  </si>
  <si>
    <t>-27.61</t>
  </si>
  <si>
    <t>-7.19</t>
  </si>
  <si>
    <t>3.84</t>
  </si>
  <si>
    <t>-42.87</t>
  </si>
  <si>
    <t>10.62</t>
  </si>
  <si>
    <t>9.72</t>
  </si>
  <si>
    <t>-54.06</t>
  </si>
  <si>
    <t>17.21</t>
  </si>
  <si>
    <t>-26.2</t>
  </si>
  <si>
    <t>7.61</t>
  </si>
  <si>
    <t>-26.92</t>
  </si>
  <si>
    <t>20.68</t>
  </si>
  <si>
    <t>-40.72</t>
  </si>
  <si>
    <t>42.63</t>
  </si>
  <si>
    <t>14.15</t>
  </si>
  <si>
    <t>-38.66</t>
  </si>
  <si>
    <t>27.35</t>
  </si>
  <si>
    <t>15.97</t>
  </si>
  <si>
    <t>33.46</t>
  </si>
  <si>
    <t>-11.83</t>
  </si>
  <si>
    <t>24.34</t>
  </si>
  <si>
    <t>-9.38</t>
  </si>
  <si>
    <t>59.04</t>
  </si>
  <si>
    <t>24.65</t>
  </si>
  <si>
    <t>-34.73</t>
  </si>
  <si>
    <t>21.93</t>
  </si>
  <si>
    <t>0.0000190832</t>
  </si>
  <si>
    <t>4.54295</t>
  </si>
  <si>
    <t>-17.4</t>
  </si>
  <si>
    <t>-48.61</t>
  </si>
  <si>
    <t>-19.91</t>
  </si>
  <si>
    <t>17.8</t>
  </si>
  <si>
    <t>-71.93</t>
  </si>
  <si>
    <t>0.00000248</t>
  </si>
  <si>
    <t>0.0000984621</t>
  </si>
  <si>
    <t>0.000543059</t>
  </si>
  <si>
    <t>0.00001380</t>
  </si>
  <si>
    <t>18.72</t>
  </si>
  <si>
    <t>14.7</t>
  </si>
  <si>
    <t>14.47</t>
  </si>
  <si>
    <t>0.00000097</t>
  </si>
  <si>
    <t>-34.62</t>
  </si>
  <si>
    <t>0.00008867</t>
  </si>
  <si>
    <t>0.00000637</t>
  </si>
  <si>
    <t>0.00000448</t>
  </si>
  <si>
    <t>4.04</t>
  </si>
  <si>
    <t>-23.28</t>
  </si>
  <si>
    <t>0.00001132</t>
  </si>
  <si>
    <t>37.89</t>
  </si>
  <si>
    <t>0.0001214</t>
  </si>
  <si>
    <t>-65.08</t>
  </si>
  <si>
    <t>42.54</t>
  </si>
  <si>
    <t>51.32</t>
  </si>
  <si>
    <t>1111.59</t>
  </si>
  <si>
    <t>0.00001064</t>
  </si>
  <si>
    <t>379.678</t>
  </si>
  <si>
    <t>0.0000006906</t>
  </si>
  <si>
    <t>71.5621</t>
  </si>
  <si>
    <t>-19.24</t>
  </si>
  <si>
    <t>-66.65</t>
  </si>
  <si>
    <t>-71.84</t>
  </si>
  <si>
    <t>17.19</t>
  </si>
  <si>
    <t>-31.17</t>
  </si>
  <si>
    <t>4371.17</t>
  </si>
  <si>
    <t>1058770000.0</t>
  </si>
  <si>
    <t>16608125.0</t>
  </si>
  <si>
    <t>1507354752</t>
  </si>
  <si>
    <t>309.616</t>
  </si>
  <si>
    <t>0.0707344</t>
  </si>
  <si>
    <t>406282000.0</t>
  </si>
  <si>
    <t>94989406.0</t>
  </si>
  <si>
    <t>1507354749</t>
  </si>
  <si>
    <t>0.237201</t>
  </si>
  <si>
    <t>0.00005419</t>
  </si>
  <si>
    <t>162900000.0</t>
  </si>
  <si>
    <t>1507354741</t>
  </si>
  <si>
    <t>362.901</t>
  </si>
  <si>
    <t>0.0829078</t>
  </si>
  <si>
    <t>143484000.0</t>
  </si>
  <si>
    <t>16675100.0</t>
  </si>
  <si>
    <t>-17.55</t>
  </si>
  <si>
    <t>1507354760</t>
  </si>
  <si>
    <t>52.0008</t>
  </si>
  <si>
    <t>0.01188</t>
  </si>
  <si>
    <t>61892500.0</t>
  </si>
  <si>
    <t>53264857.0</t>
  </si>
  <si>
    <t>1507354742</t>
  </si>
  <si>
    <t>310.953</t>
  </si>
  <si>
    <t>0.0710398</t>
  </si>
  <si>
    <t>28697600.0</t>
  </si>
  <si>
    <t>7606316.0</t>
  </si>
  <si>
    <t>1507354746</t>
  </si>
  <si>
    <t>0.209366</t>
  </si>
  <si>
    <t>0.00004783</t>
  </si>
  <si>
    <t>4987240.0</t>
  </si>
  <si>
    <t>34.1041</t>
  </si>
  <si>
    <t>0.00779137</t>
  </si>
  <si>
    <t>49211300.0</t>
  </si>
  <si>
    <t>12.92</t>
  </si>
  <si>
    <t>1507354754</t>
  </si>
  <si>
    <t>0.517871</t>
  </si>
  <si>
    <t>0.00011831</t>
  </si>
  <si>
    <t>13696000.0</t>
  </si>
  <si>
    <t>1507354758</t>
  </si>
  <si>
    <t>90.8972</t>
  </si>
  <si>
    <t>0.0207662</t>
  </si>
  <si>
    <t>23921300.0</t>
  </si>
  <si>
    <t>15184010.0</t>
  </si>
  <si>
    <t>1507354743</t>
  </si>
  <si>
    <t>12.2053</t>
  </si>
  <si>
    <t>0.0027884</t>
  </si>
  <si>
    <t>24297600.0</t>
  </si>
  <si>
    <t>96221704.0</t>
  </si>
  <si>
    <t>1507354751</t>
  </si>
  <si>
    <t>141.04</t>
  </si>
  <si>
    <t>0.0322217</t>
  </si>
  <si>
    <t>10658100.0</t>
  </si>
  <si>
    <t>6940504.0</t>
  </si>
  <si>
    <t>7971436.0</t>
  </si>
  <si>
    <t>8.57654</t>
  </si>
  <si>
    <t>0.00195938</t>
  </si>
  <si>
    <t>13662600.0</t>
  </si>
  <si>
    <t>1507354759</t>
  </si>
  <si>
    <t>11.7805</t>
  </si>
  <si>
    <t>0.00269135</t>
  </si>
  <si>
    <t>25436100.0</t>
  </si>
  <si>
    <t>5.30365</t>
  </si>
  <si>
    <t>0.00121166</t>
  </si>
  <si>
    <t>7546180.0</t>
  </si>
  <si>
    <t>113207455.0</t>
  </si>
  <si>
    <t>248.375</t>
  </si>
  <si>
    <t>0.0567434</t>
  </si>
  <si>
    <t>32377600.0</t>
  </si>
  <si>
    <t>2343856.0</t>
  </si>
  <si>
    <t>1507354753</t>
  </si>
  <si>
    <t>5.00549</t>
  </si>
  <si>
    <t>0.00114355</t>
  </si>
  <si>
    <t>6591350.0</t>
  </si>
  <si>
    <t>1507354750</t>
  </si>
  <si>
    <t>0.0179464</t>
  </si>
  <si>
    <t>7891200.0</t>
  </si>
  <si>
    <t>1507354763</t>
  </si>
  <si>
    <t>0.996727</t>
  </si>
  <si>
    <t>0.00022771</t>
  </si>
  <si>
    <t>93415800.0</t>
  </si>
  <si>
    <t>3.64367</t>
  </si>
  <si>
    <t>0.00083243</t>
  </si>
  <si>
    <t>3737500.0</t>
  </si>
  <si>
    <t>98572050.0</t>
  </si>
  <si>
    <t>0.021294</t>
  </si>
  <si>
    <t>30915500.0</t>
  </si>
  <si>
    <t>38.29</t>
  </si>
  <si>
    <t>57.23</t>
  </si>
  <si>
    <t>1507354745</t>
  </si>
  <si>
    <t>1.22677</t>
  </si>
  <si>
    <t>0.00028026</t>
  </si>
  <si>
    <t>964755.0</t>
  </si>
  <si>
    <t>242885927.0</t>
  </si>
  <si>
    <t>259860021.0</t>
  </si>
  <si>
    <t>2.58663</t>
  </si>
  <si>
    <t>0.00059094</t>
  </si>
  <si>
    <t>1358150.0</t>
  </si>
  <si>
    <t>-9.4</t>
  </si>
  <si>
    <t>1507354755</t>
  </si>
  <si>
    <t>1.80809</t>
  </si>
  <si>
    <t>0.00041307</t>
  </si>
  <si>
    <t>3974180.0</t>
  </si>
  <si>
    <t>7.22551</t>
  </si>
  <si>
    <t>0.00165073</t>
  </si>
  <si>
    <t>21931000.0</t>
  </si>
  <si>
    <t>33693030.0</t>
  </si>
  <si>
    <t>42093030.0</t>
  </si>
  <si>
    <t>1507354761</t>
  </si>
  <si>
    <t>0.00130483</t>
  </si>
  <si>
    <t>1507354744</t>
  </si>
  <si>
    <t>27.4873</t>
  </si>
  <si>
    <t>0.00627971</t>
  </si>
  <si>
    <t>1144920.0</t>
  </si>
  <si>
    <t>8530358.0</t>
  </si>
  <si>
    <t>11523336.0</t>
  </si>
  <si>
    <t>-4.46</t>
  </si>
  <si>
    <t>0.595669</t>
  </si>
  <si>
    <t>6450860.0</t>
  </si>
  <si>
    <t>389266653.0</t>
  </si>
  <si>
    <t>0.225791</t>
  </si>
  <si>
    <t>0.00005158</t>
  </si>
  <si>
    <t>2804640.0</t>
  </si>
  <si>
    <t>1507354757</t>
  </si>
  <si>
    <t>20.2205</t>
  </si>
  <si>
    <t>0.00461955</t>
  </si>
  <si>
    <t>1013400.0</t>
  </si>
  <si>
    <t>1507354748</t>
  </si>
  <si>
    <t>2.1094</t>
  </si>
  <si>
    <t>0.00048191</t>
  </si>
  <si>
    <t>1566170.0</t>
  </si>
  <si>
    <t>0.46316</t>
  </si>
  <si>
    <t>0.00010581</t>
  </si>
  <si>
    <t>1412690.0</t>
  </si>
  <si>
    <t>3.6342</t>
  </si>
  <si>
    <t>0.00083026</t>
  </si>
  <si>
    <t>1385210.0</t>
  </si>
  <si>
    <t>54434347.0</t>
  </si>
  <si>
    <t>3.61094</t>
  </si>
  <si>
    <t>0.00082495</t>
  </si>
  <si>
    <t>2596000.0</t>
  </si>
  <si>
    <t>-23.97</t>
  </si>
  <si>
    <t>0.189814</t>
  </si>
  <si>
    <t>0.00004336</t>
  </si>
  <si>
    <t>1543680.0</t>
  </si>
  <si>
    <t>7.59229</t>
  </si>
  <si>
    <t>0.00173452</t>
  </si>
  <si>
    <t>9082860.0</t>
  </si>
  <si>
    <t>12.66</t>
  </si>
  <si>
    <t>47.15</t>
  </si>
  <si>
    <t>1507354762</t>
  </si>
  <si>
    <t>0.225405</t>
  </si>
  <si>
    <t>1602260.0</t>
  </si>
  <si>
    <t>0.00287936</t>
  </si>
  <si>
    <t>451388.0</t>
  </si>
  <si>
    <t>35.18</t>
  </si>
  <si>
    <t>1.8617</t>
  </si>
  <si>
    <t>0.00042532</t>
  </si>
  <si>
    <t>2298790.0</t>
  </si>
  <si>
    <t>26.16</t>
  </si>
  <si>
    <t>1.82979</t>
  </si>
  <si>
    <t>0.00041803</t>
  </si>
  <si>
    <t>757822.0</t>
  </si>
  <si>
    <t>30.0113</t>
  </si>
  <si>
    <t>0.00685633</t>
  </si>
  <si>
    <t>503880.0</t>
  </si>
  <si>
    <t>5904762.0</t>
  </si>
  <si>
    <t>6324762.0</t>
  </si>
  <si>
    <t>0.471408</t>
  </si>
  <si>
    <t>0.0001077</t>
  </si>
  <si>
    <t>13059700.0</t>
  </si>
  <si>
    <t>27.15</t>
  </si>
  <si>
    <t>0.0598824</t>
  </si>
  <si>
    <t>0.00001368</t>
  </si>
  <si>
    <t>4668980.0</t>
  </si>
  <si>
    <t>0.00406179</t>
  </si>
  <si>
    <t>2075150.0</t>
  </si>
  <si>
    <t>2.396</t>
  </si>
  <si>
    <t>0.00054739</t>
  </si>
  <si>
    <t>1421260.0</t>
  </si>
  <si>
    <t>1.53484</t>
  </si>
  <si>
    <t>0.00035065</t>
  </si>
  <si>
    <t>6704530.0</t>
  </si>
  <si>
    <t>7.60982</t>
  </si>
  <si>
    <t>0.00173853</t>
  </si>
  <si>
    <t>1920900.0</t>
  </si>
  <si>
    <t>72.992</t>
  </si>
  <si>
    <t>0.0166756</t>
  </si>
  <si>
    <t>130193.0</t>
  </si>
  <si>
    <t>0.00457117</t>
  </si>
  <si>
    <t>1298580.0</t>
  </si>
  <si>
    <t>29919428715.0</t>
  </si>
  <si>
    <t>0.0279508</t>
  </si>
  <si>
    <t>361851.0</t>
  </si>
  <si>
    <t>63.9317</t>
  </si>
  <si>
    <t>0.0146057</t>
  </si>
  <si>
    <t>415202.0</t>
  </si>
  <si>
    <t>24.436</t>
  </si>
  <si>
    <t>96090.2</t>
  </si>
  <si>
    <t>4830211.0</t>
  </si>
  <si>
    <t>1507354747</t>
  </si>
  <si>
    <t>10.7649</t>
  </si>
  <si>
    <t>1270780.0</t>
  </si>
  <si>
    <t>10963142.0</t>
  </si>
  <si>
    <t>0.0134794</t>
  </si>
  <si>
    <t>3257180.0</t>
  </si>
  <si>
    <t>0.00105546</t>
  </si>
  <si>
    <t>1477120.0</t>
  </si>
  <si>
    <t>0.344555</t>
  </si>
  <si>
    <t>1307450.0</t>
  </si>
  <si>
    <t>87.8574</t>
  </si>
  <si>
    <t>0.0200718</t>
  </si>
  <si>
    <t>42300.9</t>
  </si>
  <si>
    <t>-9.28</t>
  </si>
  <si>
    <t>2.74395</t>
  </si>
  <si>
    <t>0.00062688</t>
  </si>
  <si>
    <t>316595.0</t>
  </si>
  <si>
    <t>192.571</t>
  </si>
  <si>
    <t>219032.0</t>
  </si>
  <si>
    <t>0.0261496</t>
  </si>
  <si>
    <t>1126800.0</t>
  </si>
  <si>
    <t>2.70322</t>
  </si>
  <si>
    <t>1154630.0</t>
  </si>
  <si>
    <t>0.169686</t>
  </si>
  <si>
    <t>0.00003877</t>
  </si>
  <si>
    <t>449459.0</t>
  </si>
  <si>
    <t>0.0290007</t>
  </si>
  <si>
    <t>1326140.0</t>
  </si>
  <si>
    <t>0.198917</t>
  </si>
  <si>
    <t>1550820.0</t>
  </si>
  <si>
    <t>0.408834</t>
  </si>
  <si>
    <t>0.00009340</t>
  </si>
  <si>
    <t>393827.0</t>
  </si>
  <si>
    <t>2.28513</t>
  </si>
  <si>
    <t>0.00052206</t>
  </si>
  <si>
    <t>1474250.0</t>
  </si>
  <si>
    <t>0.345591</t>
  </si>
  <si>
    <t>0.00007895</t>
  </si>
  <si>
    <t>0.00669928</t>
  </si>
  <si>
    <t>2557150.0</t>
  </si>
  <si>
    <t>2.18814</t>
  </si>
  <si>
    <t>3011.71</t>
  </si>
  <si>
    <t>0.0873872</t>
  </si>
  <si>
    <t>0.00001996</t>
  </si>
  <si>
    <t>116762.0</t>
  </si>
  <si>
    <t>0.495643</t>
  </si>
  <si>
    <t>466122.0</t>
  </si>
  <si>
    <t>171404144.0</t>
  </si>
  <si>
    <t>178186638.0</t>
  </si>
  <si>
    <t>0.292389</t>
  </si>
  <si>
    <t>0.00006680</t>
  </si>
  <si>
    <t>579632.0</t>
  </si>
  <si>
    <t>87.23</t>
  </si>
  <si>
    <t>1.50504</t>
  </si>
  <si>
    <t>469318.0</t>
  </si>
  <si>
    <t>52915711.0</t>
  </si>
  <si>
    <t>0.15024</t>
  </si>
  <si>
    <t>0.00003432</t>
  </si>
  <si>
    <t>478752.0</t>
  </si>
  <si>
    <t>528003071.0</t>
  </si>
  <si>
    <t>1.09741</t>
  </si>
  <si>
    <t>0.00025071</t>
  </si>
  <si>
    <t>1823780.0</t>
  </si>
  <si>
    <t>7.59676</t>
  </si>
  <si>
    <t>0.00173554</t>
  </si>
  <si>
    <t>3860280.0</t>
  </si>
  <si>
    <t>0.0000905206</t>
  </si>
  <si>
    <t>159297.0</t>
  </si>
  <si>
    <t>1.19789</t>
  </si>
  <si>
    <t>0.00027367</t>
  </si>
  <si>
    <t>3825690.0</t>
  </si>
  <si>
    <t>0.206401</t>
  </si>
  <si>
    <t>98869.5</t>
  </si>
  <si>
    <t>0.0663054</t>
  </si>
  <si>
    <t>0.00001515</t>
  </si>
  <si>
    <t>3055060.0</t>
  </si>
  <si>
    <t>6.4782</t>
  </si>
  <si>
    <t>268490.0</t>
  </si>
  <si>
    <t>59.17</t>
  </si>
  <si>
    <t>0.227757</t>
  </si>
  <si>
    <t>0.00005203</t>
  </si>
  <si>
    <t>1935480.0</t>
  </si>
  <si>
    <t>152.0</t>
  </si>
  <si>
    <t>0.380204</t>
  </si>
  <si>
    <t>164778.0</t>
  </si>
  <si>
    <t>219225862.0</t>
  </si>
  <si>
    <t>1.54067</t>
  </si>
  <si>
    <t>0.00035198</t>
  </si>
  <si>
    <t>206349.0</t>
  </si>
  <si>
    <t>38232290.0</t>
  </si>
  <si>
    <t>1.74395</t>
  </si>
  <si>
    <t>0.00039842</t>
  </si>
  <si>
    <t>488747.0</t>
  </si>
  <si>
    <t>0.154919</t>
  </si>
  <si>
    <t>0.00003539</t>
  </si>
  <si>
    <t>2080850.0</t>
  </si>
  <si>
    <t>68.93</t>
  </si>
  <si>
    <t>1.3507</t>
  </si>
  <si>
    <t>0.00030858</t>
  </si>
  <si>
    <t>3590950.0</t>
  </si>
  <si>
    <t>40100100.0</t>
  </si>
  <si>
    <t>27.96</t>
  </si>
  <si>
    <t>0.546691</t>
  </si>
  <si>
    <t>237355.0</t>
  </si>
  <si>
    <t>0.643509</t>
  </si>
  <si>
    <t>0.00014701</t>
  </si>
  <si>
    <t>989864.0</t>
  </si>
  <si>
    <t>-23.25</t>
  </si>
  <si>
    <t>3.15335</t>
  </si>
  <si>
    <t>110894.0</t>
  </si>
  <si>
    <t>16371031.0</t>
  </si>
  <si>
    <t>2.61269</t>
  </si>
  <si>
    <t>0.00059689</t>
  </si>
  <si>
    <t>1282020.0</t>
  </si>
  <si>
    <t>-12.1</t>
  </si>
  <si>
    <t>0.549966</t>
  </si>
  <si>
    <t>0.00012564</t>
  </si>
  <si>
    <t>455680.0</t>
  </si>
  <si>
    <t>6.32695</t>
  </si>
  <si>
    <t>0.00144545</t>
  </si>
  <si>
    <t>223119.0</t>
  </si>
  <si>
    <t>7728616.0</t>
  </si>
  <si>
    <t>8724616.0</t>
  </si>
  <si>
    <t>0.745087</t>
  </si>
  <si>
    <t>0.00017022</t>
  </si>
  <si>
    <t>842812.0</t>
  </si>
  <si>
    <t>61860797.0</t>
  </si>
  <si>
    <t>0.640893</t>
  </si>
  <si>
    <t>0.00014642</t>
  </si>
  <si>
    <t>275866.0</t>
  </si>
  <si>
    <t>0.558257</t>
  </si>
  <si>
    <t>0.00012754</t>
  </si>
  <si>
    <t>305739.0</t>
  </si>
  <si>
    <t>1507354756</t>
  </si>
  <si>
    <t>69.0231</t>
  </si>
  <si>
    <t>281486.0</t>
  </si>
  <si>
    <t>0.125326</t>
  </si>
  <si>
    <t>0.00002863</t>
  </si>
  <si>
    <t>221468.0</t>
  </si>
  <si>
    <t>0.407184</t>
  </si>
  <si>
    <t>0.00009302</t>
  </si>
  <si>
    <t>413014.0</t>
  </si>
  <si>
    <t>0.113322</t>
  </si>
  <si>
    <t>0.00002589</t>
  </si>
  <si>
    <t>102740.0</t>
  </si>
  <si>
    <t>353985045.0</t>
  </si>
  <si>
    <t>456005200.0</t>
  </si>
  <si>
    <t>0.338443</t>
  </si>
  <si>
    <t>571909.0</t>
  </si>
  <si>
    <t>0.000122547</t>
  </si>
  <si>
    <t>20655.0</t>
  </si>
  <si>
    <t>2.42786</t>
  </si>
  <si>
    <t>0.00055466</t>
  </si>
  <si>
    <t>2482210.0</t>
  </si>
  <si>
    <t>54.42</t>
  </si>
  <si>
    <t>0.404275</t>
  </si>
  <si>
    <t>399711.0</t>
  </si>
  <si>
    <t>12.4701</t>
  </si>
  <si>
    <t>0.0028489</t>
  </si>
  <si>
    <t>1687710.0</t>
  </si>
  <si>
    <t>0.00003494</t>
  </si>
  <si>
    <t>411508.0</t>
  </si>
  <si>
    <t>17.77</t>
  </si>
  <si>
    <t>154.94</t>
  </si>
  <si>
    <t>0.904585</t>
  </si>
  <si>
    <t>588903.0</t>
  </si>
  <si>
    <t>38217076.0</t>
  </si>
  <si>
    <t>50193876.0</t>
  </si>
  <si>
    <t>10.9317</t>
  </si>
  <si>
    <t>0.00249745</t>
  </si>
  <si>
    <t>508305.0</t>
  </si>
  <si>
    <t>0.245758</t>
  </si>
  <si>
    <t>0.00005615</t>
  </si>
  <si>
    <t>1485480.0</t>
  </si>
  <si>
    <t>1507354764</t>
  </si>
  <si>
    <t>1.45093</t>
  </si>
  <si>
    <t>0.00033148</t>
  </si>
  <si>
    <t>389175.0</t>
  </si>
  <si>
    <t>4.19988</t>
  </si>
  <si>
    <t>0.0009595</t>
  </si>
  <si>
    <t>197749.0</t>
  </si>
  <si>
    <t>6.55211</t>
  </si>
  <si>
    <t>274140.0</t>
  </si>
  <si>
    <t>5114271.0</t>
  </si>
  <si>
    <t>0.164264</t>
  </si>
  <si>
    <t>25955.5</t>
  </si>
  <si>
    <t>203842856.0</t>
  </si>
  <si>
    <t>0.616655</t>
  </si>
  <si>
    <t>25636.4</t>
  </si>
  <si>
    <t>0.0142321</t>
  </si>
  <si>
    <t>0.00000325</t>
  </si>
  <si>
    <t>285387.0</t>
  </si>
  <si>
    <t>0.0760104</t>
  </si>
  <si>
    <t>0.00001737</t>
  </si>
  <si>
    <t>449861.0</t>
  </si>
  <si>
    <t>0.0323825</t>
  </si>
  <si>
    <t>48325.2</t>
  </si>
  <si>
    <t>24.67</t>
  </si>
  <si>
    <t>35.11</t>
  </si>
  <si>
    <t>0.360076</t>
  </si>
  <si>
    <t>0.00008226</t>
  </si>
  <si>
    <t>447212.0</t>
  </si>
  <si>
    <t>0.141978</t>
  </si>
  <si>
    <t>0.00003244</t>
  </si>
  <si>
    <t>274748.0</t>
  </si>
  <si>
    <t>0.0304208</t>
  </si>
  <si>
    <t>0.00000695</t>
  </si>
  <si>
    <t>308015.0</t>
  </si>
  <si>
    <t>1007768464.0</t>
  </si>
  <si>
    <t>0.592871</t>
  </si>
  <si>
    <t>0.00013545</t>
  </si>
  <si>
    <t>235710.0</t>
  </si>
  <si>
    <t>0.557679</t>
  </si>
  <si>
    <t>393560.0</t>
  </si>
  <si>
    <t>54446475.0</t>
  </si>
  <si>
    <t>14.71</t>
  </si>
  <si>
    <t>1.23343</t>
  </si>
  <si>
    <t>0.00028179</t>
  </si>
  <si>
    <t>515706.0</t>
  </si>
  <si>
    <t>24372284.0</t>
  </si>
  <si>
    <t>1507354740</t>
  </si>
  <si>
    <t>2.32906</t>
  </si>
  <si>
    <t>0.00053209</t>
  </si>
  <si>
    <t>498174.0</t>
  </si>
  <si>
    <t>12439795.0</t>
  </si>
  <si>
    <t>13162173.0</t>
  </si>
  <si>
    <t>128.86</t>
  </si>
  <si>
    <t>0.00100733</t>
  </si>
  <si>
    <t>794659.0</t>
  </si>
  <si>
    <t>0.96647</t>
  </si>
  <si>
    <t>0.0002208</t>
  </si>
  <si>
    <t>944328.0</t>
  </si>
  <si>
    <t>53.31</t>
  </si>
  <si>
    <t>0.0476608</t>
  </si>
  <si>
    <t>0.00001089</t>
  </si>
  <si>
    <t>511550.0</t>
  </si>
  <si>
    <t>0.304488</t>
  </si>
  <si>
    <t>0.00006956</t>
  </si>
  <si>
    <t>303865.0</t>
  </si>
  <si>
    <t>-22.4</t>
  </si>
  <si>
    <t>1.24095</t>
  </si>
  <si>
    <t>0.00028351</t>
  </si>
  <si>
    <t>692193.0</t>
  </si>
  <si>
    <t>0.324982</t>
  </si>
  <si>
    <t>0.00007424</t>
  </si>
  <si>
    <t>63826.5</t>
  </si>
  <si>
    <t>0.528602</t>
  </si>
  <si>
    <t>0.00012076</t>
  </si>
  <si>
    <t>285385.0</t>
  </si>
  <si>
    <t>1.18202</t>
  </si>
  <si>
    <t>0.00027004</t>
  </si>
  <si>
    <t>736522.0</t>
  </si>
  <si>
    <t>22848137.0</t>
  </si>
  <si>
    <t>128.817</t>
  </si>
  <si>
    <t>0.0294293</t>
  </si>
  <si>
    <t>122013.0</t>
  </si>
  <si>
    <t>0.0458772</t>
  </si>
  <si>
    <t>20895.2</t>
  </si>
  <si>
    <t>87.21</t>
  </si>
  <si>
    <t>0.0452936</t>
  </si>
  <si>
    <t>333226.0</t>
  </si>
  <si>
    <t>9.53179</t>
  </si>
  <si>
    <t>0.00217762</t>
  </si>
  <si>
    <t>82960.8</t>
  </si>
  <si>
    <t>2.75772</t>
  </si>
  <si>
    <t>965533.0</t>
  </si>
  <si>
    <t>8876782.0</t>
  </si>
  <si>
    <t>20.21</t>
  </si>
  <si>
    <t>56.37</t>
  </si>
  <si>
    <t>0.596292</t>
  </si>
  <si>
    <t>85867.4</t>
  </si>
  <si>
    <t>40822857.0</t>
  </si>
  <si>
    <t>9.13297</t>
  </si>
  <si>
    <t>0.0020865</t>
  </si>
  <si>
    <t>71855.7</t>
  </si>
  <si>
    <t>2650184.0</t>
  </si>
  <si>
    <t>16388436.0</t>
  </si>
  <si>
    <t>0.321153</t>
  </si>
  <si>
    <t>9059.91</t>
  </si>
  <si>
    <t>0.789839</t>
  </si>
  <si>
    <t>0.00018044</t>
  </si>
  <si>
    <t>518118.0</t>
  </si>
  <si>
    <t>0.338573</t>
  </si>
  <si>
    <t>0.00007735</t>
  </si>
  <si>
    <t>450328.0</t>
  </si>
  <si>
    <t>1.394</t>
  </si>
  <si>
    <t>26275.3</t>
  </si>
  <si>
    <t>16729453.0</t>
  </si>
  <si>
    <t>22629453.0</t>
  </si>
  <si>
    <t>9.4109</t>
  </si>
  <si>
    <t>150024.0</t>
  </si>
  <si>
    <t>2456020.0</t>
  </si>
  <si>
    <t>0.710808</t>
  </si>
  <si>
    <t>0.00016239</t>
  </si>
  <si>
    <t>1650550.0</t>
  </si>
  <si>
    <t>3.24089</t>
  </si>
  <si>
    <t>0.00074041</t>
  </si>
  <si>
    <t>28416.7</t>
  </si>
  <si>
    <t>1.40901</t>
  </si>
  <si>
    <t>81383.7</t>
  </si>
  <si>
    <t>15514289.0</t>
  </si>
  <si>
    <t>0.00999212</t>
  </si>
  <si>
    <t>58174.6</t>
  </si>
  <si>
    <t>20.42</t>
  </si>
  <si>
    <t>0.00989814</t>
  </si>
  <si>
    <t>187616.0</t>
  </si>
  <si>
    <t>0.165325</t>
  </si>
  <si>
    <t>113344.0</t>
  </si>
  <si>
    <t>1.32503</t>
  </si>
  <si>
    <t>0.00030271</t>
  </si>
  <si>
    <t>125550.0</t>
  </si>
  <si>
    <t>0.122561</t>
  </si>
  <si>
    <t>104520.0</t>
  </si>
  <si>
    <t>0.0321012</t>
  </si>
  <si>
    <t>61172.0</t>
  </si>
  <si>
    <t>3.2417</t>
  </si>
  <si>
    <t>0.00074059</t>
  </si>
  <si>
    <t>750.644</t>
  </si>
  <si>
    <t>0.0895498</t>
  </si>
  <si>
    <t>0.00002046</t>
  </si>
  <si>
    <t>5823040.0</t>
  </si>
  <si>
    <t>214172780.0</t>
  </si>
  <si>
    <t>12.19</t>
  </si>
  <si>
    <t>-31.74</t>
  </si>
  <si>
    <t>0.284745</t>
  </si>
  <si>
    <t>0.00006505</t>
  </si>
  <si>
    <t>993086.0</t>
  </si>
  <si>
    <t>0.116164</t>
  </si>
  <si>
    <t>180418.0</t>
  </si>
  <si>
    <t>0.131585</t>
  </si>
  <si>
    <t>0.00003006</t>
  </si>
  <si>
    <t>203262.0</t>
  </si>
  <si>
    <t>0.201157</t>
  </si>
  <si>
    <t>0.00004596</t>
  </si>
  <si>
    <t>7850.33</t>
  </si>
  <si>
    <t>91276618.0</t>
  </si>
  <si>
    <t>99634037.0</t>
  </si>
  <si>
    <t>-37.6</t>
  </si>
  <si>
    <t>14.5525</t>
  </si>
  <si>
    <t>0.00332464</t>
  </si>
  <si>
    <t>80121.2</t>
  </si>
  <si>
    <t>0.144534</t>
  </si>
  <si>
    <t>99630.8</t>
  </si>
  <si>
    <t>125545046.0</t>
  </si>
  <si>
    <t>0.69065</t>
  </si>
  <si>
    <t>0.00015778</t>
  </si>
  <si>
    <t>68756.4</t>
  </si>
  <si>
    <t>-41.5</t>
  </si>
  <si>
    <t>1.20213</t>
  </si>
  <si>
    <t>0.00027464</t>
  </si>
  <si>
    <t>120226.0</t>
  </si>
  <si>
    <t>0.205857</t>
  </si>
  <si>
    <t>0.00004703</t>
  </si>
  <si>
    <t>16786.3</t>
  </si>
  <si>
    <t>2.92473</t>
  </si>
  <si>
    <t>532644.0</t>
  </si>
  <si>
    <t>0.303838</t>
  </si>
  <si>
    <t>0.00006941</t>
  </si>
  <si>
    <t>397536.0</t>
  </si>
  <si>
    <t>0.262323</t>
  </si>
  <si>
    <t>7978.13</t>
  </si>
  <si>
    <t>50.04</t>
  </si>
  <si>
    <t>3.93956</t>
  </si>
  <si>
    <t>326168.0</t>
  </si>
  <si>
    <t>4279420.0</t>
  </si>
  <si>
    <t>6279420.0</t>
  </si>
  <si>
    <t>0.656153</t>
  </si>
  <si>
    <t>23457.7</t>
  </si>
  <si>
    <t>24842950.0</t>
  </si>
  <si>
    <t>0.48684</t>
  </si>
  <si>
    <t>0.00011122</t>
  </si>
  <si>
    <t>319808.0</t>
  </si>
  <si>
    <t>0.641115</t>
  </si>
  <si>
    <t>0.00014647</t>
  </si>
  <si>
    <t>242247.0</t>
  </si>
  <si>
    <t>43.87</t>
  </si>
  <si>
    <t>0.646203</t>
  </si>
  <si>
    <t>731996.0</t>
  </si>
  <si>
    <t>99042663.0</t>
  </si>
  <si>
    <t>0.015499</t>
  </si>
  <si>
    <t>35345.8</t>
  </si>
  <si>
    <t>0.792628</t>
  </si>
  <si>
    <t>0.00018108</t>
  </si>
  <si>
    <t>360811.0</t>
  </si>
  <si>
    <t>0.0236521</t>
  </si>
  <si>
    <t>1098860.0</t>
  </si>
  <si>
    <t>32.33</t>
  </si>
  <si>
    <t>6.60724</t>
  </si>
  <si>
    <t>0.00150948</t>
  </si>
  <si>
    <t>257314.0</t>
  </si>
  <si>
    <t>-24.97</t>
  </si>
  <si>
    <t>3.58221</t>
  </si>
  <si>
    <t>0.00081839</t>
  </si>
  <si>
    <t>42385.8</t>
  </si>
  <si>
    <t>4151652.0</t>
  </si>
  <si>
    <t>212440544.0</t>
  </si>
  <si>
    <t>0.203233</t>
  </si>
  <si>
    <t>762545.0</t>
  </si>
  <si>
    <t>72996766.0</t>
  </si>
  <si>
    <t>-33.42</t>
  </si>
  <si>
    <t>3.85895</t>
  </si>
  <si>
    <t>0.00088161</t>
  </si>
  <si>
    <t>6174.46</t>
  </si>
  <si>
    <t>6.57587</t>
  </si>
  <si>
    <t>0.00150231</t>
  </si>
  <si>
    <t>158685.0</t>
  </si>
  <si>
    <t>14.5393</t>
  </si>
  <si>
    <t>7501.89</t>
  </si>
  <si>
    <t>0.00796029</t>
  </si>
  <si>
    <t>214265.0</t>
  </si>
  <si>
    <t>4.26103</t>
  </si>
  <si>
    <t>0.00097347</t>
  </si>
  <si>
    <t>46536.5</t>
  </si>
  <si>
    <t>0.190585</t>
  </si>
  <si>
    <t>631766.0</t>
  </si>
  <si>
    <t>1.80524</t>
  </si>
  <si>
    <t>0.00041242</t>
  </si>
  <si>
    <t>152845.0</t>
  </si>
  <si>
    <t>0.00204289</t>
  </si>
  <si>
    <t>2937740.0</t>
  </si>
  <si>
    <t>1.23781</t>
  </si>
  <si>
    <t>0.00028279</t>
  </si>
  <si>
    <t>98992.9</t>
  </si>
  <si>
    <t>11265287.0</t>
  </si>
  <si>
    <t>0.203359</t>
  </si>
  <si>
    <t>0.00004646</t>
  </si>
  <si>
    <t>356374.0</t>
  </si>
  <si>
    <t>0.182118</t>
  </si>
  <si>
    <t>334112.0</t>
  </si>
  <si>
    <t>76414304.0</t>
  </si>
  <si>
    <t>0.171961</t>
  </si>
  <si>
    <t>0.00003929</t>
  </si>
  <si>
    <t>20832.1</t>
  </si>
  <si>
    <t>6.88567</t>
  </si>
  <si>
    <t>417413.0</t>
  </si>
  <si>
    <t>0.0623789</t>
  </si>
  <si>
    <t>117041.0</t>
  </si>
  <si>
    <t>0.0697039</t>
  </si>
  <si>
    <t>0.00001592</t>
  </si>
  <si>
    <t>127766.0</t>
  </si>
  <si>
    <t>14.22</t>
  </si>
  <si>
    <t>0.0581353</t>
  </si>
  <si>
    <t>0.00001328</t>
  </si>
  <si>
    <t>30614.7</t>
  </si>
  <si>
    <t>18.5221</t>
  </si>
  <si>
    <t>0.00423153</t>
  </si>
  <si>
    <t>507360.0</t>
  </si>
  <si>
    <t>1.71713</t>
  </si>
  <si>
    <t>69417.8</t>
  </si>
  <si>
    <t>0.308196</t>
  </si>
  <si>
    <t>15337.7</t>
  </si>
  <si>
    <t>0.0207618</t>
  </si>
  <si>
    <t>24411.5</t>
  </si>
  <si>
    <t>610780188.0</t>
  </si>
  <si>
    <t>85.71</t>
  </si>
  <si>
    <t>0.102978</t>
  </si>
  <si>
    <t>12967.4</t>
  </si>
  <si>
    <t>121281482.0</t>
  </si>
  <si>
    <t>-15.02</t>
  </si>
  <si>
    <t>0.151591</t>
  </si>
  <si>
    <t>0.00003463</t>
  </si>
  <si>
    <t>73650.5</t>
  </si>
  <si>
    <t>0.113192</t>
  </si>
  <si>
    <t>0.00002586</t>
  </si>
  <si>
    <t>150029.0</t>
  </si>
  <si>
    <t>104.5</t>
  </si>
  <si>
    <t>21.9139</t>
  </si>
  <si>
    <t>58001.2</t>
  </si>
  <si>
    <t>0.0977381</t>
  </si>
  <si>
    <t>0.00002233</t>
  </si>
  <si>
    <t>15865.3</t>
  </si>
  <si>
    <t>0.107318</t>
  </si>
  <si>
    <t>0.00002452</t>
  </si>
  <si>
    <t>56316.6</t>
  </si>
  <si>
    <t>0.236725</t>
  </si>
  <si>
    <t>0.00005408</t>
  </si>
  <si>
    <t>8105.24</t>
  </si>
  <si>
    <t>0.0310404</t>
  </si>
  <si>
    <t>56338.7</t>
  </si>
  <si>
    <t>0.0157578</t>
  </si>
  <si>
    <t>1293.03</t>
  </si>
  <si>
    <t>0.170632</t>
  </si>
  <si>
    <t>0.00003898</t>
  </si>
  <si>
    <t>34670.4</t>
  </si>
  <si>
    <t>9.70382</t>
  </si>
  <si>
    <t>20497.4</t>
  </si>
  <si>
    <t>1194763.0</t>
  </si>
  <si>
    <t>-32.29</t>
  </si>
  <si>
    <t>1.13584</t>
  </si>
  <si>
    <t>0.00025949</t>
  </si>
  <si>
    <t>16566.0</t>
  </si>
  <si>
    <t>1.06744</t>
  </si>
  <si>
    <t>0.00024387</t>
  </si>
  <si>
    <t>117792.0</t>
  </si>
  <si>
    <t>0.00065717</t>
  </si>
  <si>
    <t>4691.61</t>
  </si>
  <si>
    <t>-15.13</t>
  </si>
  <si>
    <t>0.481488</t>
  </si>
  <si>
    <t>15942.9</t>
  </si>
  <si>
    <t>0.0000469941</t>
  </si>
  <si>
    <t>17851.1</t>
  </si>
  <si>
    <t>222353095405</t>
  </si>
  <si>
    <t>0.0471838</t>
  </si>
  <si>
    <t>208952.0</t>
  </si>
  <si>
    <t>216964287.0</t>
  </si>
  <si>
    <t>301964287.0</t>
  </si>
  <si>
    <t>0.992249</t>
  </si>
  <si>
    <t>0.00022669</t>
  </si>
  <si>
    <t>6202.1</t>
  </si>
  <si>
    <t>0.0529255</t>
  </si>
  <si>
    <t>61268.6</t>
  </si>
  <si>
    <t>-25.46</t>
  </si>
  <si>
    <t>0.0792825</t>
  </si>
  <si>
    <t>0.00001811</t>
  </si>
  <si>
    <t>128965.0</t>
  </si>
  <si>
    <t>121556296.0</t>
  </si>
  <si>
    <t>0.00550559</t>
  </si>
  <si>
    <t>72894.0</t>
  </si>
  <si>
    <t>1712094551.0</t>
  </si>
  <si>
    <t>8860894225.0</t>
  </si>
  <si>
    <t>0.0574178</t>
  </si>
  <si>
    <t>78009.5</t>
  </si>
  <si>
    <t>26.57</t>
  </si>
  <si>
    <t>1.58011</t>
  </si>
  <si>
    <t>555.9</t>
  </si>
  <si>
    <t>5852605.0</t>
  </si>
  <si>
    <t>0.0662739</t>
  </si>
  <si>
    <t>0.00001514</t>
  </si>
  <si>
    <t>263712.0</t>
  </si>
  <si>
    <t>138301310.0</t>
  </si>
  <si>
    <t>0.565951</t>
  </si>
  <si>
    <t>29874.9</t>
  </si>
  <si>
    <t>-17.65</t>
  </si>
  <si>
    <t>10.523</t>
  </si>
  <si>
    <t>0.00240407</t>
  </si>
  <si>
    <t>98698.0</t>
  </si>
  <si>
    <t>0.433023</t>
  </si>
  <si>
    <t>0.00009893</t>
  </si>
  <si>
    <t>27514.4</t>
  </si>
  <si>
    <t>0.285161</t>
  </si>
  <si>
    <t>57379.1</t>
  </si>
  <si>
    <t>30393312.0</t>
  </si>
  <si>
    <t>0.0400229</t>
  </si>
  <si>
    <t>0.00000914</t>
  </si>
  <si>
    <t>117589.0</t>
  </si>
  <si>
    <t>0.0094469</t>
  </si>
  <si>
    <t>0.00000216</t>
  </si>
  <si>
    <t>575475.0</t>
  </si>
  <si>
    <t>0.0226203</t>
  </si>
  <si>
    <t>66641.4</t>
  </si>
  <si>
    <t>370007238.0</t>
  </si>
  <si>
    <t>2.3479</t>
  </si>
  <si>
    <t>112393.0</t>
  </si>
  <si>
    <t>3515153.0</t>
  </si>
  <si>
    <t>0.779311</t>
  </si>
  <si>
    <t>625907.0</t>
  </si>
  <si>
    <t>0.022589</t>
  </si>
  <si>
    <t>58593.2</t>
  </si>
  <si>
    <t>362153600.0</t>
  </si>
  <si>
    <t>382153600.0</t>
  </si>
  <si>
    <t>0.0115557</t>
  </si>
  <si>
    <t>1965.26</t>
  </si>
  <si>
    <t>0.276406</t>
  </si>
  <si>
    <t>4883.25</t>
  </si>
  <si>
    <t>29277128.0</t>
  </si>
  <si>
    <t>41.2</t>
  </si>
  <si>
    <t>0.0178117</t>
  </si>
  <si>
    <t>2314.18</t>
  </si>
  <si>
    <t>0.220157</t>
  </si>
  <si>
    <t>0.00005030</t>
  </si>
  <si>
    <t>80044.0</t>
  </si>
  <si>
    <t>0.373309</t>
  </si>
  <si>
    <t>0.00008529</t>
  </si>
  <si>
    <t>1810830.0</t>
  </si>
  <si>
    <t>-47.79</t>
  </si>
  <si>
    <t>0.504253</t>
  </si>
  <si>
    <t>0.0001152</t>
  </si>
  <si>
    <t>3494.19</t>
  </si>
  <si>
    <t>0.0177294</t>
  </si>
  <si>
    <t>23350.7</t>
  </si>
  <si>
    <t>2.43489</t>
  </si>
  <si>
    <t>6799.31</t>
  </si>
  <si>
    <t>0.830592</t>
  </si>
  <si>
    <t>9217.1</t>
  </si>
  <si>
    <t>8966716.0</t>
  </si>
  <si>
    <t>0.107739</t>
  </si>
  <si>
    <t>0.00002461</t>
  </si>
  <si>
    <t>83665.7</t>
  </si>
  <si>
    <t>68536984.0</t>
  </si>
  <si>
    <t>0.160022</t>
  </si>
  <si>
    <t>0.00003656</t>
  </si>
  <si>
    <t>71243.0</t>
  </si>
  <si>
    <t>-13.68</t>
  </si>
  <si>
    <t>0.200386</t>
  </si>
  <si>
    <t>0.00004578</t>
  </si>
  <si>
    <t>26741.7</t>
  </si>
  <si>
    <t>36725795.0</t>
  </si>
  <si>
    <t>98034272653.0</t>
  </si>
  <si>
    <t>0.147414</t>
  </si>
  <si>
    <t>233706.0</t>
  </si>
  <si>
    <t>0.019178</t>
  </si>
  <si>
    <t>48893.0</t>
  </si>
  <si>
    <t>3.93822</t>
  </si>
  <si>
    <t>0.00089972</t>
  </si>
  <si>
    <t>1304870.0</t>
  </si>
  <si>
    <t>3.81131</t>
  </si>
  <si>
    <t>0.00087073</t>
  </si>
  <si>
    <t>49652.1</t>
  </si>
  <si>
    <t>1861045.0</t>
  </si>
  <si>
    <t>0.0000102055</t>
  </si>
  <si>
    <t>2072.31</t>
  </si>
  <si>
    <t>694852197264</t>
  </si>
  <si>
    <t>-67.41</t>
  </si>
  <si>
    <t>-44.21</t>
  </si>
  <si>
    <t>0.423623</t>
  </si>
  <si>
    <t>0.00009678</t>
  </si>
  <si>
    <t>90040.0</t>
  </si>
  <si>
    <t>16714775.0</t>
  </si>
  <si>
    <t>0.953771</t>
  </si>
  <si>
    <t>0.0002179</t>
  </si>
  <si>
    <t>43694.1</t>
  </si>
  <si>
    <t>0.0394807</t>
  </si>
  <si>
    <t>0.00000902</t>
  </si>
  <si>
    <t>48434.1</t>
  </si>
  <si>
    <t>177618920.0</t>
  </si>
  <si>
    <t>0.168199</t>
  </si>
  <si>
    <t>0.00003843</t>
  </si>
  <si>
    <t>5730.14</t>
  </si>
  <si>
    <t>0.466472</t>
  </si>
  <si>
    <t>0.00010657</t>
  </si>
  <si>
    <t>118641.0</t>
  </si>
  <si>
    <t>-29.9</t>
  </si>
  <si>
    <t>4.28372</t>
  </si>
  <si>
    <t>0.00097865</t>
  </si>
  <si>
    <t>6477090.0</t>
  </si>
  <si>
    <t>47.36</t>
  </si>
  <si>
    <t>541.62</t>
  </si>
  <si>
    <t>0.145111</t>
  </si>
  <si>
    <t>117378.0</t>
  </si>
  <si>
    <t>4.91994</t>
  </si>
  <si>
    <t>0.001124</t>
  </si>
  <si>
    <t>88168.9</t>
  </si>
  <si>
    <t>1268847.0</t>
  </si>
  <si>
    <t>50.86</t>
  </si>
  <si>
    <t>0.198865</t>
  </si>
  <si>
    <t>34713.0</t>
  </si>
  <si>
    <t>31273894.0</t>
  </si>
  <si>
    <t>5.9353</t>
  </si>
  <si>
    <t>0.00135597</t>
  </si>
  <si>
    <t>24859.4</t>
  </si>
  <si>
    <t>1032484.0</t>
  </si>
  <si>
    <t>16573003.0</t>
  </si>
  <si>
    <t>10.0</t>
  </si>
  <si>
    <t>0.00284078</t>
  </si>
  <si>
    <t>47406.9</t>
  </si>
  <si>
    <t>2156586000.0</t>
  </si>
  <si>
    <t>0.0245559</t>
  </si>
  <si>
    <t>54429.4</t>
  </si>
  <si>
    <t>248381573.0</t>
  </si>
  <si>
    <t>0.000570786</t>
  </si>
  <si>
    <t>9999.45</t>
  </si>
  <si>
    <t>17.98</t>
  </si>
  <si>
    <t>0.0122998</t>
  </si>
  <si>
    <t>7957.69</t>
  </si>
  <si>
    <t>492158948.0</t>
  </si>
  <si>
    <t>882405516.0</t>
  </si>
  <si>
    <t>20.09</t>
  </si>
  <si>
    <t>0.0466945</t>
  </si>
  <si>
    <t>71234.7</t>
  </si>
  <si>
    <t>127771476.0</t>
  </si>
  <si>
    <t>0.256655</t>
  </si>
  <si>
    <t>0.00005864</t>
  </si>
  <si>
    <t>164714.0</t>
  </si>
  <si>
    <t>-33.09</t>
  </si>
  <si>
    <t>0.197392</t>
  </si>
  <si>
    <t>7868.54</t>
  </si>
  <si>
    <t>0.497562</t>
  </si>
  <si>
    <t>0.00011367</t>
  </si>
  <si>
    <t>286619.0</t>
  </si>
  <si>
    <t>0.0112493</t>
  </si>
  <si>
    <t>0.00000257</t>
  </si>
  <si>
    <t>469488.0</t>
  </si>
  <si>
    <t>0.673741</t>
  </si>
  <si>
    <t>38342.1</t>
  </si>
  <si>
    <t>0.114638</t>
  </si>
  <si>
    <t>25996.1</t>
  </si>
  <si>
    <t>0.1877</t>
  </si>
  <si>
    <t>3963.69</t>
  </si>
  <si>
    <t>121.63</t>
  </si>
  <si>
    <t>0.00713646</t>
  </si>
  <si>
    <t>87918.1</t>
  </si>
  <si>
    <t>0.150574</t>
  </si>
  <si>
    <t>48520.4</t>
  </si>
  <si>
    <t>0.240583</t>
  </si>
  <si>
    <t>0.00005496</t>
  </si>
  <si>
    <t>2595310.0</t>
  </si>
  <si>
    <t>23088211.0</t>
  </si>
  <si>
    <t>62.73</t>
  </si>
  <si>
    <t>266.06</t>
  </si>
  <si>
    <t>0.0892837</t>
  </si>
  <si>
    <t>7745.54</t>
  </si>
  <si>
    <t>-13.81</t>
  </si>
  <si>
    <t>0.0272477</t>
  </si>
  <si>
    <t>7725.26</t>
  </si>
  <si>
    <t>0.578245</t>
  </si>
  <si>
    <t>34747.3</t>
  </si>
  <si>
    <t>9474401.0</t>
  </si>
  <si>
    <t>10574401.0</t>
  </si>
  <si>
    <t>6.27</t>
  </si>
  <si>
    <t>0.000218858</t>
  </si>
  <si>
    <t>4859.92</t>
  </si>
  <si>
    <t>0.227919</t>
  </si>
  <si>
    <t>0.00005207</t>
  </si>
  <si>
    <t>36255.2</t>
  </si>
  <si>
    <t>23779384.0</t>
  </si>
  <si>
    <t>0.000131333</t>
  </si>
  <si>
    <t>19369.2</t>
  </si>
  <si>
    <t>51.5081</t>
  </si>
  <si>
    <t>60940.3</t>
  </si>
  <si>
    <t>2.06736</t>
  </si>
  <si>
    <t>18608.0</t>
  </si>
  <si>
    <t>1.21758</t>
  </si>
  <si>
    <t>21105.8</t>
  </si>
  <si>
    <t>4269642.0</t>
  </si>
  <si>
    <t>0.632866</t>
  </si>
  <si>
    <t>7746.37</t>
  </si>
  <si>
    <t>65.56</t>
  </si>
  <si>
    <t>34.96</t>
  </si>
  <si>
    <t>0.135463</t>
  </si>
  <si>
    <t>33960.5</t>
  </si>
  <si>
    <t>37916450.0</t>
  </si>
  <si>
    <t>-8.35</t>
  </si>
  <si>
    <t>0.0495495</t>
  </si>
  <si>
    <t>175289.0</t>
  </si>
  <si>
    <t>0.0000863246</t>
  </si>
  <si>
    <t>30343.2</t>
  </si>
  <si>
    <t>59230601948.0</t>
  </si>
  <si>
    <t>59232601948.0</t>
  </si>
  <si>
    <t>0.33214</t>
  </si>
  <si>
    <t>0.00007588</t>
  </si>
  <si>
    <t>42580.8</t>
  </si>
  <si>
    <t>0.0379193</t>
  </si>
  <si>
    <t>0.00000866</t>
  </si>
  <si>
    <t>29494.5</t>
  </si>
  <si>
    <t>130941004.0</t>
  </si>
  <si>
    <t>0.232157</t>
  </si>
  <si>
    <t>0.496633</t>
  </si>
  <si>
    <t>39763.6</t>
  </si>
  <si>
    <t>9924891.0</t>
  </si>
  <si>
    <t>0.178987</t>
  </si>
  <si>
    <t>21963.3</t>
  </si>
  <si>
    <t>27082093.0</t>
  </si>
  <si>
    <t>1.18271</t>
  </si>
  <si>
    <t>9578.91</t>
  </si>
  <si>
    <t>4093741.0</t>
  </si>
  <si>
    <t>0.119161</t>
  </si>
  <si>
    <t>13370.9</t>
  </si>
  <si>
    <t>40542808.0</t>
  </si>
  <si>
    <t>6.84247</t>
  </si>
  <si>
    <t>88848.2</t>
  </si>
  <si>
    <t>-32.91</t>
  </si>
  <si>
    <t>1.93117</t>
  </si>
  <si>
    <t>10005.2</t>
  </si>
  <si>
    <t>46.16</t>
  </si>
  <si>
    <t>0.0734273</t>
  </si>
  <si>
    <t>20362.8</t>
  </si>
  <si>
    <t>0.93508</t>
  </si>
  <si>
    <t>0.00021363</t>
  </si>
  <si>
    <t>114989.0</t>
  </si>
  <si>
    <t>4557.22</t>
  </si>
  <si>
    <t>1.04113</t>
  </si>
  <si>
    <t>9720.47</t>
  </si>
  <si>
    <t>0.100981</t>
  </si>
  <si>
    <t>20139.5</t>
  </si>
  <si>
    <t>45039798.0</t>
  </si>
  <si>
    <t>0.324042</t>
  </si>
  <si>
    <t>92691.0</t>
  </si>
  <si>
    <t>13977200.0</t>
  </si>
  <si>
    <t>0.00450848</t>
  </si>
  <si>
    <t>59128.4</t>
  </si>
  <si>
    <t>0.087584</t>
  </si>
  <si>
    <t>18367.4</t>
  </si>
  <si>
    <t>50773233.0</t>
  </si>
  <si>
    <t>62773233.0</t>
  </si>
  <si>
    <t>53.02</t>
  </si>
  <si>
    <t>1.97576</t>
  </si>
  <si>
    <t>0.00045138</t>
  </si>
  <si>
    <t>46176.6</t>
  </si>
  <si>
    <t>1.07678</t>
  </si>
  <si>
    <t>17758.0</t>
  </si>
  <si>
    <t>1.40224</t>
  </si>
  <si>
    <t>10320.7</t>
  </si>
  <si>
    <t>3093073.0</t>
  </si>
  <si>
    <t>0.0308583</t>
  </si>
  <si>
    <t>29404.6</t>
  </si>
  <si>
    <t>3.10713</t>
  </si>
  <si>
    <t>6578.73</t>
  </si>
  <si>
    <t>1390263.0</t>
  </si>
  <si>
    <t>0.257184</t>
  </si>
  <si>
    <t>0.00005876</t>
  </si>
  <si>
    <t>8946.14</t>
  </si>
  <si>
    <t>11.57</t>
  </si>
  <si>
    <t>0.661434</t>
  </si>
  <si>
    <t>0.00015111</t>
  </si>
  <si>
    <t>6402.12</t>
  </si>
  <si>
    <t>1.09244</t>
  </si>
  <si>
    <t>0.00024958</t>
  </si>
  <si>
    <t>35051.9</t>
  </si>
  <si>
    <t>2.07915</t>
  </si>
  <si>
    <t>16272.5</t>
  </si>
  <si>
    <t>1818804.0</t>
  </si>
  <si>
    <t>4572708.0</t>
  </si>
  <si>
    <t>0.0162831</t>
  </si>
  <si>
    <t>44322.2</t>
  </si>
  <si>
    <t>0.0921331</t>
  </si>
  <si>
    <t>18568.5</t>
  </si>
  <si>
    <t>1.92436</t>
  </si>
  <si>
    <t>44715.7</t>
  </si>
  <si>
    <t>0.976889</t>
  </si>
  <si>
    <t>0.00022318</t>
  </si>
  <si>
    <t>44249.8</t>
  </si>
  <si>
    <t>3564267.0</t>
  </si>
  <si>
    <t>0.220604</t>
  </si>
  <si>
    <t>8967.3</t>
  </si>
  <si>
    <t>15697543.0</t>
  </si>
  <si>
    <t>8205.7</t>
  </si>
  <si>
    <t>3478020459.0</t>
  </si>
  <si>
    <t>0.00223375</t>
  </si>
  <si>
    <t>35283.7</t>
  </si>
  <si>
    <t>1518604500.0</t>
  </si>
  <si>
    <t>1.04092</t>
  </si>
  <si>
    <t>16575.8</t>
  </si>
  <si>
    <t>3241187.0</t>
  </si>
  <si>
    <t>0.105052</t>
  </si>
  <si>
    <t>76391.6</t>
  </si>
  <si>
    <t>-38.0</t>
  </si>
  <si>
    <t>0.209929</t>
  </si>
  <si>
    <t>16795.3</t>
  </si>
  <si>
    <t>15541067.0</t>
  </si>
  <si>
    <t>0.643736</t>
  </si>
  <si>
    <t>0.00014707</t>
  </si>
  <si>
    <t>9870.34</t>
  </si>
  <si>
    <t>7.49</t>
  </si>
  <si>
    <t>31.53</t>
  </si>
  <si>
    <t>0.0310976</t>
  </si>
  <si>
    <t>103739.0</t>
  </si>
  <si>
    <t>0.207046</t>
  </si>
  <si>
    <t>48054.0</t>
  </si>
  <si>
    <t>15503710.0</t>
  </si>
  <si>
    <t>0.0288021</t>
  </si>
  <si>
    <t>127899.0</t>
  </si>
  <si>
    <t>-12.63</t>
  </si>
  <si>
    <t>1.00658</t>
  </si>
  <si>
    <t>0.00022996</t>
  </si>
  <si>
    <t>42737.3</t>
  </si>
  <si>
    <t>1.13397</t>
  </si>
  <si>
    <t>0.00025907</t>
  </si>
  <si>
    <t>4369.38</t>
  </si>
  <si>
    <t>2762455.0</t>
  </si>
  <si>
    <t>0.0153067</t>
  </si>
  <si>
    <t>4439.21</t>
  </si>
  <si>
    <t>0.449667</t>
  </si>
  <si>
    <t>14416.7</t>
  </si>
  <si>
    <t>0.147142</t>
  </si>
  <si>
    <t>0.00003362</t>
  </si>
  <si>
    <t>484698.0</t>
  </si>
  <si>
    <t>20867768.0</t>
  </si>
  <si>
    <t>0.185693</t>
  </si>
  <si>
    <t>128845.0</t>
  </si>
  <si>
    <t>-29.6</t>
  </si>
  <si>
    <t>0.226551</t>
  </si>
  <si>
    <t>0.00005176</t>
  </si>
  <si>
    <t>218362.0</t>
  </si>
  <si>
    <t>9.95</t>
  </si>
  <si>
    <t>0.471242</t>
  </si>
  <si>
    <t>17691.5</t>
  </si>
  <si>
    <t>-15.46</t>
  </si>
  <si>
    <t>944043.0</t>
  </si>
  <si>
    <t>50.34</t>
  </si>
  <si>
    <t>0.026698</t>
  </si>
  <si>
    <t>51916.9</t>
  </si>
  <si>
    <t>0.0285901</t>
  </si>
  <si>
    <t>2289.09</t>
  </si>
  <si>
    <t>100236487.0</t>
  </si>
  <si>
    <t>110236487.0</t>
  </si>
  <si>
    <t>2.18377</t>
  </si>
  <si>
    <t>0.0004989</t>
  </si>
  <si>
    <t>66789.0</t>
  </si>
  <si>
    <t>1308175.0</t>
  </si>
  <si>
    <t>0.329462</t>
  </si>
  <si>
    <t>0.00007527</t>
  </si>
  <si>
    <t>10823.7</t>
  </si>
  <si>
    <t>36.19</t>
  </si>
  <si>
    <t>30.8</t>
  </si>
  <si>
    <t>0.815359</t>
  </si>
  <si>
    <t>0.00018628</t>
  </si>
  <si>
    <t>28305.0</t>
  </si>
  <si>
    <t>3479339.0</t>
  </si>
  <si>
    <t>18584458.0</t>
  </si>
  <si>
    <t>-9.02</t>
  </si>
  <si>
    <t>29.36</t>
  </si>
  <si>
    <t>2.0368</t>
  </si>
  <si>
    <t>0.00046532</t>
  </si>
  <si>
    <t>6972.43</t>
  </si>
  <si>
    <t>42.17</t>
  </si>
  <si>
    <t>0.0721622</t>
  </si>
  <si>
    <t>11363.6</t>
  </si>
  <si>
    <t>33.92</t>
  </si>
  <si>
    <t>0.0000745014</t>
  </si>
  <si>
    <t>1846.41</t>
  </si>
  <si>
    <t>36971142700.0</t>
  </si>
  <si>
    <t>0.150402</t>
  </si>
  <si>
    <t>30366.1</t>
  </si>
  <si>
    <t>0.00520889</t>
  </si>
  <si>
    <t>37072.1</t>
  </si>
  <si>
    <t>516491915.0</t>
  </si>
  <si>
    <t>0.419451</t>
  </si>
  <si>
    <t>27079.3</t>
  </si>
  <si>
    <t>6148481.0</t>
  </si>
  <si>
    <t>0.209319</t>
  </si>
  <si>
    <t>0.00004782</t>
  </si>
  <si>
    <t>72112.1</t>
  </si>
  <si>
    <t>0.0545756</t>
  </si>
  <si>
    <t>0.00001247</t>
  </si>
  <si>
    <t>13372.9</t>
  </si>
  <si>
    <t>0.00433695</t>
  </si>
  <si>
    <t>1482.46</t>
  </si>
  <si>
    <t>0.0496505</t>
  </si>
  <si>
    <t>15631.6</t>
  </si>
  <si>
    <t>22.37</t>
  </si>
  <si>
    <t>0.022568</t>
  </si>
  <si>
    <t>126058.0</t>
  </si>
  <si>
    <t>109709767.0</t>
  </si>
  <si>
    <t>116472431.0</t>
  </si>
  <si>
    <t>-87.91</t>
  </si>
  <si>
    <t>0.196551</t>
  </si>
  <si>
    <t>0.00004490</t>
  </si>
  <si>
    <t>1419.88</t>
  </si>
  <si>
    <t>16.84</t>
  </si>
  <si>
    <t>38.72</t>
  </si>
  <si>
    <t>1.21252</t>
  </si>
  <si>
    <t>1990.85</t>
  </si>
  <si>
    <t>0.030127</t>
  </si>
  <si>
    <t>29861.1</t>
  </si>
  <si>
    <t>0.181943</t>
  </si>
  <si>
    <t>2561.81</t>
  </si>
  <si>
    <t>12517656.0</t>
  </si>
  <si>
    <t>0.0548666</t>
  </si>
  <si>
    <t>34868.1</t>
  </si>
  <si>
    <t>-34.57</t>
  </si>
  <si>
    <t>0.136961</t>
  </si>
  <si>
    <t>0.00003129</t>
  </si>
  <si>
    <t>24006.2</t>
  </si>
  <si>
    <t>0.0000875439</t>
  </si>
  <si>
    <t>5860.78</t>
  </si>
  <si>
    <t>24905175132.0</t>
  </si>
  <si>
    <t>0.194259</t>
  </si>
  <si>
    <t>0.00004438</t>
  </si>
  <si>
    <t>71051.8</t>
  </si>
  <si>
    <t>-10.92</t>
  </si>
  <si>
    <t>-38.77</t>
  </si>
  <si>
    <t>0.0466042</t>
  </si>
  <si>
    <t>304854.0</t>
  </si>
  <si>
    <t>1.85105</t>
  </si>
  <si>
    <t>0.00042289</t>
  </si>
  <si>
    <t>133006.0</t>
  </si>
  <si>
    <t>0.208371</t>
  </si>
  <si>
    <t>145796.0</t>
  </si>
  <si>
    <t>0.0002308</t>
  </si>
  <si>
    <t>39252.5</t>
  </si>
  <si>
    <t>3.18486</t>
  </si>
  <si>
    <t>0.00072761</t>
  </si>
  <si>
    <t>127328.0</t>
  </si>
  <si>
    <t>0.0000877533</t>
  </si>
  <si>
    <t>1269.05</t>
  </si>
  <si>
    <t>22651396707.0</t>
  </si>
  <si>
    <t>0.0195222</t>
  </si>
  <si>
    <t>60384.4</t>
  </si>
  <si>
    <t>21.92</t>
  </si>
  <si>
    <t>184.32</t>
  </si>
  <si>
    <t>0.141164</t>
  </si>
  <si>
    <t>0.00003225</t>
  </si>
  <si>
    <t>59171.8</t>
  </si>
  <si>
    <t>0.123986</t>
  </si>
  <si>
    <t>397613.0</t>
  </si>
  <si>
    <t>-24.61</t>
  </si>
  <si>
    <t>120.7</t>
  </si>
  <si>
    <t>0.0000787235</t>
  </si>
  <si>
    <t>2221.31</t>
  </si>
  <si>
    <t>11.55</t>
  </si>
  <si>
    <t>0.0000874876</t>
  </si>
  <si>
    <t>9622.18</t>
  </si>
  <si>
    <t>20650491345.0</t>
  </si>
  <si>
    <t>0.0534296</t>
  </si>
  <si>
    <t>16698.1</t>
  </si>
  <si>
    <t>46.63</t>
  </si>
  <si>
    <t>0.0803273</t>
  </si>
  <si>
    <t>0.00001835</t>
  </si>
  <si>
    <t>104987.0</t>
  </si>
  <si>
    <t>22000950.0</t>
  </si>
  <si>
    <t>25.19</t>
  </si>
  <si>
    <t>0.234527</t>
  </si>
  <si>
    <t>23402.4</t>
  </si>
  <si>
    <t>7466307.0</t>
  </si>
  <si>
    <t>0.0896006</t>
  </si>
  <si>
    <t>8078.66</t>
  </si>
  <si>
    <t>19504000.0</t>
  </si>
  <si>
    <t>0.0376004</t>
  </si>
  <si>
    <t>0.00000859</t>
  </si>
  <si>
    <t>2106.53</t>
  </si>
  <si>
    <t>45020242.0</t>
  </si>
  <si>
    <t>0.0175806</t>
  </si>
  <si>
    <t>0.00000402</t>
  </si>
  <si>
    <t>132145.0</t>
  </si>
  <si>
    <t>0.070611</t>
  </si>
  <si>
    <t>0.00001613</t>
  </si>
  <si>
    <t>709.434</t>
  </si>
  <si>
    <t>0.0436841</t>
  </si>
  <si>
    <t>71381.9</t>
  </si>
  <si>
    <t>37817275.0</t>
  </si>
  <si>
    <t>-26.96</t>
  </si>
  <si>
    <t>0.0727383</t>
  </si>
  <si>
    <t>0.00001662</t>
  </si>
  <si>
    <t>1982.21</t>
  </si>
  <si>
    <t>0.104435</t>
  </si>
  <si>
    <t>35814.6</t>
  </si>
  <si>
    <t>15487094.0</t>
  </si>
  <si>
    <t>20526434.0</t>
  </si>
  <si>
    <t>0.000266218</t>
  </si>
  <si>
    <t>3428.78</t>
  </si>
  <si>
    <t>0.0159747</t>
  </si>
  <si>
    <t>2399.19</t>
  </si>
  <si>
    <t>8.06</t>
  </si>
  <si>
    <t>-53.27</t>
  </si>
  <si>
    <t>0.33167</t>
  </si>
  <si>
    <t>80788.0</t>
  </si>
  <si>
    <t>0.439615</t>
  </si>
  <si>
    <t>66264.2</t>
  </si>
  <si>
    <t>1.83013</t>
  </si>
  <si>
    <t>0.00041811</t>
  </si>
  <si>
    <t>635.591</t>
  </si>
  <si>
    <t>62.17</t>
  </si>
  <si>
    <t>0.0000028291</t>
  </si>
  <si>
    <t>22295.1</t>
  </si>
  <si>
    <t>535138744336</t>
  </si>
  <si>
    <t>-41.39</t>
  </si>
  <si>
    <t>0.00149094</t>
  </si>
  <si>
    <t>2724.86</t>
  </si>
  <si>
    <t>1014268344.0</t>
  </si>
  <si>
    <t>0.674021</t>
  </si>
  <si>
    <t>11317.9</t>
  </si>
  <si>
    <t>2233079.0</t>
  </si>
  <si>
    <t>9233079.0</t>
  </si>
  <si>
    <t>0.0170062</t>
  </si>
  <si>
    <t>36890.4</t>
  </si>
  <si>
    <t>1.30622</t>
  </si>
  <si>
    <t>0.00029842</t>
  </si>
  <si>
    <t>23152.6</t>
  </si>
  <si>
    <t>1130108.0</t>
  </si>
  <si>
    <t>-27.97</t>
  </si>
  <si>
    <t>0.00591758</t>
  </si>
  <si>
    <t>397951.0</t>
  </si>
  <si>
    <t>248231310.0</t>
  </si>
  <si>
    <t>207.53</t>
  </si>
  <si>
    <t>784.82</t>
  </si>
  <si>
    <t>0.0822286</t>
  </si>
  <si>
    <t>18429.0</t>
  </si>
  <si>
    <t>17727866.0</t>
  </si>
  <si>
    <t>16.78</t>
  </si>
  <si>
    <t>0.00135779</t>
  </si>
  <si>
    <t>5720.26</t>
  </si>
  <si>
    <t>-27.02</t>
  </si>
  <si>
    <t>0.0107705</t>
  </si>
  <si>
    <t>5194.94</t>
  </si>
  <si>
    <t>0.0104801</t>
  </si>
  <si>
    <t>3262.93</t>
  </si>
  <si>
    <t>124777770.0</t>
  </si>
  <si>
    <t>0.261412</t>
  </si>
  <si>
    <t>43322.2</t>
  </si>
  <si>
    <t>4978387.0</t>
  </si>
  <si>
    <t>-4.13</t>
  </si>
  <si>
    <t>0.0770713</t>
  </si>
  <si>
    <t>6834.24</t>
  </si>
  <si>
    <t>16856640.0</t>
  </si>
  <si>
    <t>18606640.0</t>
  </si>
  <si>
    <t>0.512808</t>
  </si>
  <si>
    <t>0.00011715</t>
  </si>
  <si>
    <t>19322.2</t>
  </si>
  <si>
    <t>28.77</t>
  </si>
  <si>
    <t>79.16</t>
  </si>
  <si>
    <t>0.00139838</t>
  </si>
  <si>
    <t>17927.7</t>
  </si>
  <si>
    <t>0.0460231</t>
  </si>
  <si>
    <t>39225.6</t>
  </si>
  <si>
    <t>9.13</t>
  </si>
  <si>
    <t>1.20837</t>
  </si>
  <si>
    <t>6287.12</t>
  </si>
  <si>
    <t>1036724.0</t>
  </si>
  <si>
    <t>0.123684</t>
  </si>
  <si>
    <t>0.00002826</t>
  </si>
  <si>
    <t>10518.7</t>
  </si>
  <si>
    <t>25.7746</t>
  </si>
  <si>
    <t>0.00588842</t>
  </si>
  <si>
    <t>1063.83</t>
  </si>
  <si>
    <t>3.19743</t>
  </si>
  <si>
    <t>21054.2</t>
  </si>
  <si>
    <t>382696.0</t>
  </si>
  <si>
    <t>1202696.0</t>
  </si>
  <si>
    <t>0.265388</t>
  </si>
  <si>
    <t>1053.69</t>
  </si>
  <si>
    <t>4524973.0</t>
  </si>
  <si>
    <t>19.48</t>
  </si>
  <si>
    <t>1.30192</t>
  </si>
  <si>
    <t>0.00029743</t>
  </si>
  <si>
    <t>87068.1</t>
  </si>
  <si>
    <t>-36.91</t>
  </si>
  <si>
    <t>0.0000451262</t>
  </si>
  <si>
    <t>0.0814326</t>
  </si>
  <si>
    <t>6493.7</t>
  </si>
  <si>
    <t>14110850.0</t>
  </si>
  <si>
    <t>0.290031</t>
  </si>
  <si>
    <t>1155.94</t>
  </si>
  <si>
    <t>3957240.0</t>
  </si>
  <si>
    <t>0.678473</t>
  </si>
  <si>
    <t>28225.9</t>
  </si>
  <si>
    <t>0.0971219</t>
  </si>
  <si>
    <t>0.00002219</t>
  </si>
  <si>
    <t>68848.7</t>
  </si>
  <si>
    <t>129.72</t>
  </si>
  <si>
    <t>0.0455938</t>
  </si>
  <si>
    <t>0.00001042</t>
  </si>
  <si>
    <t>21468.6</t>
  </si>
  <si>
    <t>24440500.0</t>
  </si>
  <si>
    <t>0.604049</t>
  </si>
  <si>
    <t>8444.33</t>
  </si>
  <si>
    <t>1806493.0</t>
  </si>
  <si>
    <t>0.625864</t>
  </si>
  <si>
    <t>0.00014298</t>
  </si>
  <si>
    <t>26526.5</t>
  </si>
  <si>
    <t>1734183.0</t>
  </si>
  <si>
    <t>10623072.0</t>
  </si>
  <si>
    <t>20.85</t>
  </si>
  <si>
    <t>448214.0</t>
  </si>
  <si>
    <t>88.32</t>
  </si>
  <si>
    <t>0.00413804</t>
  </si>
  <si>
    <t>26266.4</t>
  </si>
  <si>
    <t>255158750.0</t>
  </si>
  <si>
    <t>520158750.0</t>
  </si>
  <si>
    <t>0.510777</t>
  </si>
  <si>
    <t>0.00011669</t>
  </si>
  <si>
    <t>17783.3</t>
  </si>
  <si>
    <t>0.292961</t>
  </si>
  <si>
    <t>115214.0</t>
  </si>
  <si>
    <t>77.27</t>
  </si>
  <si>
    <t>75.19</t>
  </si>
  <si>
    <t>3.39348</t>
  </si>
  <si>
    <t>0.00077527</t>
  </si>
  <si>
    <t>33931.4</t>
  </si>
  <si>
    <t>365.26</t>
  </si>
  <si>
    <t>233.43</t>
  </si>
  <si>
    <t>0.997994</t>
  </si>
  <si>
    <t>55427.3</t>
  </si>
  <si>
    <t>0.0185879</t>
  </si>
  <si>
    <t>6075.43</t>
  </si>
  <si>
    <t>0.115119</t>
  </si>
  <si>
    <t>7779.74</t>
  </si>
  <si>
    <t>0.00787774</t>
  </si>
  <si>
    <t>1356.33</t>
  </si>
  <si>
    <t>115742654.0</t>
  </si>
  <si>
    <t>-40.16</t>
  </si>
  <si>
    <t>0.198898</t>
  </si>
  <si>
    <t>887.392</t>
  </si>
  <si>
    <t>-22.81</t>
  </si>
  <si>
    <t>0.142914</t>
  </si>
  <si>
    <t>4869.77</t>
  </si>
  <si>
    <t>6214491.0</t>
  </si>
  <si>
    <t>225.95</t>
  </si>
  <si>
    <t>0.00459601</t>
  </si>
  <si>
    <t>64559.7</t>
  </si>
  <si>
    <t>0.0000398163</t>
  </si>
  <si>
    <t>838.045</t>
  </si>
  <si>
    <t>21600522566.0</t>
  </si>
  <si>
    <t>0.000641399</t>
  </si>
  <si>
    <t>629.178</t>
  </si>
  <si>
    <t>1273673745.0</t>
  </si>
  <si>
    <t>13.24</t>
  </si>
  <si>
    <t>37.6</t>
  </si>
  <si>
    <t>0.159241</t>
  </si>
  <si>
    <t>28140.8</t>
  </si>
  <si>
    <t>0.0480796</t>
  </si>
  <si>
    <t>2188.96</t>
  </si>
  <si>
    <t>16488074.0</t>
  </si>
  <si>
    <t>23988075.0</t>
  </si>
  <si>
    <t>0.0000017841</t>
  </si>
  <si>
    <t>989.778</t>
  </si>
  <si>
    <t>0.0116119</t>
  </si>
  <si>
    <t>224223.0</t>
  </si>
  <si>
    <t>0.0738341</t>
  </si>
  <si>
    <t>0.00001687</t>
  </si>
  <si>
    <t>1272.11</t>
  </si>
  <si>
    <t>0.0344832</t>
  </si>
  <si>
    <t>2528.39</t>
  </si>
  <si>
    <t>0.118183</t>
  </si>
  <si>
    <t>1119.38</t>
  </si>
  <si>
    <t>152.743</t>
  </si>
  <si>
    <t>0.0348954</t>
  </si>
  <si>
    <t>508.146</t>
  </si>
  <si>
    <t>0.00200934</t>
  </si>
  <si>
    <t>3343.66</t>
  </si>
  <si>
    <t>362060511.0</t>
  </si>
  <si>
    <t>52.46</t>
  </si>
  <si>
    <t>101.57</t>
  </si>
  <si>
    <t>0.0131753</t>
  </si>
  <si>
    <t>1551.77</t>
  </si>
  <si>
    <t>-28.7</t>
  </si>
  <si>
    <t>-23.6</t>
  </si>
  <si>
    <t>0.0000476775</t>
  </si>
  <si>
    <t>1528.58</t>
  </si>
  <si>
    <t>14857931006.0</t>
  </si>
  <si>
    <t>0.0181387</t>
  </si>
  <si>
    <t>1697.72</t>
  </si>
  <si>
    <t>38508420.0</t>
  </si>
  <si>
    <t>0.212371</t>
  </si>
  <si>
    <t>513.623</t>
  </si>
  <si>
    <t>61.26</t>
  </si>
  <si>
    <t>0.0155938</t>
  </si>
  <si>
    <t>2450.14</t>
  </si>
  <si>
    <t>44497848.0</t>
  </si>
  <si>
    <t>-23.21</t>
  </si>
  <si>
    <t>0.0650447</t>
  </si>
  <si>
    <t>4873.77</t>
  </si>
  <si>
    <t>10214723.0</t>
  </si>
  <si>
    <t>11214723.0</t>
  </si>
  <si>
    <t>0.0986613</t>
  </si>
  <si>
    <t>1376.21</t>
  </si>
  <si>
    <t>0.0181366</t>
  </si>
  <si>
    <t>837.988</t>
  </si>
  <si>
    <t>0.0138516</t>
  </si>
  <si>
    <t>659.966</t>
  </si>
  <si>
    <t>0.000569044</t>
  </si>
  <si>
    <t>746.137</t>
  </si>
  <si>
    <t>1125772860.0</t>
  </si>
  <si>
    <t>0.109838</t>
  </si>
  <si>
    <t>1870.42</t>
  </si>
  <si>
    <t>5721733.0</t>
  </si>
  <si>
    <t>10721736.0</t>
  </si>
  <si>
    <t>0.00629769</t>
  </si>
  <si>
    <t>2907.46</t>
  </si>
  <si>
    <t>-19.77</t>
  </si>
  <si>
    <t>0.271778</t>
  </si>
  <si>
    <t>13422.6</t>
  </si>
  <si>
    <t>0.0243516</t>
  </si>
  <si>
    <t>1273.96</t>
  </si>
  <si>
    <t>42.27</t>
  </si>
  <si>
    <t>0.0532736</t>
  </si>
  <si>
    <t>653.065</t>
  </si>
  <si>
    <t>0.337394</t>
  </si>
  <si>
    <t>19216.3</t>
  </si>
  <si>
    <t>1627831.0</t>
  </si>
  <si>
    <t>21.58</t>
  </si>
  <si>
    <t>0.0641395</t>
  </si>
  <si>
    <t>0.00001465</t>
  </si>
  <si>
    <t>11877.4</t>
  </si>
  <si>
    <t>8400700.0</t>
  </si>
  <si>
    <t>9400700.0</t>
  </si>
  <si>
    <t>0.11925</t>
  </si>
  <si>
    <t>10533.6</t>
  </si>
  <si>
    <t>32.85</t>
  </si>
  <si>
    <t>0.3339</t>
  </si>
  <si>
    <t>554.148</t>
  </si>
  <si>
    <t>0.101858</t>
  </si>
  <si>
    <t>0.00002327</t>
  </si>
  <si>
    <t>1410.22</t>
  </si>
  <si>
    <t>9.68</t>
  </si>
  <si>
    <t>21.05</t>
  </si>
  <si>
    <t>0.132399</t>
  </si>
  <si>
    <t>19569.1</t>
  </si>
  <si>
    <t>-33.08</t>
  </si>
  <si>
    <t>0.0168647</t>
  </si>
  <si>
    <t>5827.52</t>
  </si>
  <si>
    <t>97.68</t>
  </si>
  <si>
    <t>1463.19</t>
  </si>
  <si>
    <t>-43.67</t>
  </si>
  <si>
    <t>-58.19</t>
  </si>
  <si>
    <t>2883.02</t>
  </si>
  <si>
    <t>2306606538.0</t>
  </si>
  <si>
    <t>0.310705</t>
  </si>
  <si>
    <t>0.00007098</t>
  </si>
  <si>
    <t>10059.1</t>
  </si>
  <si>
    <t>11.27</t>
  </si>
  <si>
    <t>20.65</t>
  </si>
  <si>
    <t>19552.2</t>
  </si>
  <si>
    <t>489501370.0</t>
  </si>
  <si>
    <t>514501370.0</t>
  </si>
  <si>
    <t>-67.12</t>
  </si>
  <si>
    <t>-73.44</t>
  </si>
  <si>
    <t>0.066607</t>
  </si>
  <si>
    <t>0.00001522</t>
  </si>
  <si>
    <t>1332.8</t>
  </si>
  <si>
    <t>7180979.0</t>
  </si>
  <si>
    <t>0.05094</t>
  </si>
  <si>
    <t>2420.9</t>
  </si>
  <si>
    <t>69.97</t>
  </si>
  <si>
    <t>0.0104793</t>
  </si>
  <si>
    <t>898.045</t>
  </si>
  <si>
    <t>44169793.0</t>
  </si>
  <si>
    <t>0.271384</t>
  </si>
  <si>
    <t>5748.14</t>
  </si>
  <si>
    <t>1652900.0</t>
  </si>
  <si>
    <t>1.0891</t>
  </si>
  <si>
    <t>0.00024881</t>
  </si>
  <si>
    <t>49553.5</t>
  </si>
  <si>
    <t>128.04</t>
  </si>
  <si>
    <t>31.09</t>
  </si>
  <si>
    <t>0.00862309</t>
  </si>
  <si>
    <t>6051.67</t>
  </si>
  <si>
    <t>0.000744494</t>
  </si>
  <si>
    <t>651.358</t>
  </si>
  <si>
    <t>-26.83</t>
  </si>
  <si>
    <t>0.034804</t>
  </si>
  <si>
    <t>14214.0</t>
  </si>
  <si>
    <t>54.78</t>
  </si>
  <si>
    <t>305.84</t>
  </si>
  <si>
    <t>2.12785</t>
  </si>
  <si>
    <t>0.00048613</t>
  </si>
  <si>
    <t>288774.0</t>
  </si>
  <si>
    <t>0.0174045</t>
  </si>
  <si>
    <t>3281.97</t>
  </si>
  <si>
    <t>12.35</t>
  </si>
  <si>
    <t>0.0322233</t>
  </si>
  <si>
    <t>10510.0</t>
  </si>
  <si>
    <t>15002309160.0</t>
  </si>
  <si>
    <t>-24.0</t>
  </si>
  <si>
    <t>0.229083</t>
  </si>
  <si>
    <t>0.00005234</t>
  </si>
  <si>
    <t>685.099</t>
  </si>
  <si>
    <t>0.157127</t>
  </si>
  <si>
    <t>1077.89</t>
  </si>
  <si>
    <t>2572447.0</t>
  </si>
  <si>
    <t>0.00372823</t>
  </si>
  <si>
    <t>927.125</t>
  </si>
  <si>
    <t>107117785.0</t>
  </si>
  <si>
    <t>-25.17</t>
  </si>
  <si>
    <t>-33.19</t>
  </si>
  <si>
    <t>0.0289998</t>
  </si>
  <si>
    <t>12142.1</t>
  </si>
  <si>
    <t>13328596.0</t>
  </si>
  <si>
    <t>13.42</t>
  </si>
  <si>
    <t>15.6</t>
  </si>
  <si>
    <t>-18.64</t>
  </si>
  <si>
    <t>0.023329</t>
  </si>
  <si>
    <t>0.00000533</t>
  </si>
  <si>
    <t>3362.31</t>
  </si>
  <si>
    <t>0.00415828</t>
  </si>
  <si>
    <t>71350.4</t>
  </si>
  <si>
    <t>-68.44</t>
  </si>
  <si>
    <t>0.00234017</t>
  </si>
  <si>
    <t>11989.4</t>
  </si>
  <si>
    <t>82.12</t>
  </si>
  <si>
    <t>0.679467</t>
  </si>
  <si>
    <t>4166.65</t>
  </si>
  <si>
    <t>525615.0</t>
  </si>
  <si>
    <t>551276.0</t>
  </si>
  <si>
    <t>0.00576801</t>
  </si>
  <si>
    <t>5796.69</t>
  </si>
  <si>
    <t>60971060.0</t>
  </si>
  <si>
    <t>9.43</t>
  </si>
  <si>
    <t>46.3</t>
  </si>
  <si>
    <t>0.0122166</t>
  </si>
  <si>
    <t>723.33</t>
  </si>
  <si>
    <t>0.0514948</t>
  </si>
  <si>
    <t>604.112</t>
  </si>
  <si>
    <t>0.0329265</t>
  </si>
  <si>
    <t>1768.0</t>
  </si>
  <si>
    <t>7917.63</t>
  </si>
  <si>
    <t>1.80885</t>
  </si>
  <si>
    <t>6741.71</t>
  </si>
  <si>
    <t>1.3756</t>
  </si>
  <si>
    <t>0.00031427</t>
  </si>
  <si>
    <t>56590.0</t>
  </si>
  <si>
    <t>4.41258</t>
  </si>
  <si>
    <t>1180.44</t>
  </si>
  <si>
    <t>11.69</t>
  </si>
  <si>
    <t>0.0262141</t>
  </si>
  <si>
    <t>2718.66</t>
  </si>
  <si>
    <t>12212863.0</t>
  </si>
  <si>
    <t>0.0109429</t>
  </si>
  <si>
    <t>1076.78</t>
  </si>
  <si>
    <t>29088989.0</t>
  </si>
  <si>
    <t>32188989.0</t>
  </si>
  <si>
    <t>151.18</t>
  </si>
  <si>
    <t>0.0773242</t>
  </si>
  <si>
    <t>1273.91</t>
  </si>
  <si>
    <t>0.144713</t>
  </si>
  <si>
    <t>3529.4</t>
  </si>
  <si>
    <t>3526.42</t>
  </si>
  <si>
    <t>150291707869</t>
  </si>
  <si>
    <t>209750812589</t>
  </si>
  <si>
    <t>-51.67</t>
  </si>
  <si>
    <t>0.179464</t>
  </si>
  <si>
    <t>10671.8</t>
  </si>
  <si>
    <t>1589533.0</t>
  </si>
  <si>
    <t>277.21</t>
  </si>
  <si>
    <t>0.0118175</t>
  </si>
  <si>
    <t>510.358</t>
  </si>
  <si>
    <t>-8.02</t>
  </si>
  <si>
    <t>0.0236367</t>
  </si>
  <si>
    <t>2761.02</t>
  </si>
  <si>
    <t>0.434097</t>
  </si>
  <si>
    <t>2142.91</t>
  </si>
  <si>
    <t>83.15</t>
  </si>
  <si>
    <t>99.34</t>
  </si>
  <si>
    <t>0.00566421</t>
  </si>
  <si>
    <t>690.96</t>
  </si>
  <si>
    <t>4534.34</t>
  </si>
  <si>
    <t>1.03591</t>
  </si>
  <si>
    <t>0.719071</t>
  </si>
  <si>
    <t>4917.15</t>
  </si>
  <si>
    <t>316859.0</t>
  </si>
  <si>
    <t>27.79</t>
  </si>
  <si>
    <t>60.72</t>
  </si>
  <si>
    <t>0.0575056</t>
  </si>
  <si>
    <t>1917.2</t>
  </si>
  <si>
    <t>0.0383852</t>
  </si>
  <si>
    <t>6589.74</t>
  </si>
  <si>
    <t>0.350692</t>
  </si>
  <si>
    <t>21790.6</t>
  </si>
  <si>
    <t>581318.0</t>
  </si>
  <si>
    <t>1041318.0</t>
  </si>
  <si>
    <t>-53.23</t>
  </si>
  <si>
    <t>0.0199599</t>
  </si>
  <si>
    <t>0.00000456</t>
  </si>
  <si>
    <t>83980.6</t>
  </si>
  <si>
    <t>10155622.0</t>
  </si>
  <si>
    <t>254155622.0</t>
  </si>
  <si>
    <t>-36.2</t>
  </si>
  <si>
    <t>0.00341253</t>
  </si>
  <si>
    <t>20291.3</t>
  </si>
  <si>
    <t>103.09</t>
  </si>
  <si>
    <t>0.000229098</t>
  </si>
  <si>
    <t>1498.82</t>
  </si>
  <si>
    <t>13.21</t>
  </si>
  <si>
    <t>0.000131315</t>
  </si>
  <si>
    <t>2296.15</t>
  </si>
  <si>
    <t>-57.53</t>
  </si>
  <si>
    <t>96.61</t>
  </si>
  <si>
    <t>0.00831703</t>
  </si>
  <si>
    <t>1784.87</t>
  </si>
  <si>
    <t>20901400.0</t>
  </si>
  <si>
    <t>0.00280011</t>
  </si>
  <si>
    <t>5162.53</t>
  </si>
  <si>
    <t>0.0186633</t>
  </si>
  <si>
    <t>5947.47</t>
  </si>
  <si>
    <t>7969009.0</t>
  </si>
  <si>
    <t>19169009.0</t>
  </si>
  <si>
    <t>0.561207</t>
  </si>
  <si>
    <t>722.975</t>
  </si>
  <si>
    <t>16.96</t>
  </si>
  <si>
    <t>12.65</t>
  </si>
  <si>
    <t>0.409299</t>
  </si>
  <si>
    <t>1391.2</t>
  </si>
  <si>
    <t>346880.0</t>
  </si>
  <si>
    <t>0.00161924</t>
  </si>
  <si>
    <t>6306.73</t>
  </si>
  <si>
    <t>84521178.0</t>
  </si>
  <si>
    <t>0.0121847</t>
  </si>
  <si>
    <t>1943.78</t>
  </si>
  <si>
    <t>2.55</t>
  </si>
  <si>
    <t>0.0243377</t>
  </si>
  <si>
    <t>978.975</t>
  </si>
  <si>
    <t>0.0000522212</t>
  </si>
  <si>
    <t>3607.52</t>
  </si>
  <si>
    <t>0.0242324</t>
  </si>
  <si>
    <t>637.379</t>
  </si>
  <si>
    <t>5209437.0</t>
  </si>
  <si>
    <t>5708037.0</t>
  </si>
  <si>
    <t>122.89</t>
  </si>
  <si>
    <t>128.61</t>
  </si>
  <si>
    <t>0.120407</t>
  </si>
  <si>
    <t>8381.96</t>
  </si>
  <si>
    <t>1145151.0</t>
  </si>
  <si>
    <t>0.0274886</t>
  </si>
  <si>
    <t>2480.16</t>
  </si>
  <si>
    <t>11.49</t>
  </si>
  <si>
    <t>109.17</t>
  </si>
  <si>
    <t>0.0936398</t>
  </si>
  <si>
    <t>1666.98</t>
  </si>
  <si>
    <t>0.00125531</t>
  </si>
  <si>
    <t>5217.42</t>
  </si>
  <si>
    <t>115.98</t>
  </si>
  <si>
    <t>0.0010745</t>
  </si>
  <si>
    <t>4375.41</t>
  </si>
  <si>
    <t>12.69</t>
  </si>
  <si>
    <t>0.0037433</t>
  </si>
  <si>
    <t>59734.5</t>
  </si>
  <si>
    <t>536.95</t>
  </si>
  <si>
    <t>0.0445031</t>
  </si>
  <si>
    <t>3701.58</t>
  </si>
  <si>
    <t>43.05</t>
  </si>
  <si>
    <t>0.612584</t>
  </si>
  <si>
    <t>568.123</t>
  </si>
  <si>
    <t>0.00699355</t>
  </si>
  <si>
    <t>525.534</t>
  </si>
  <si>
    <t>15124559.0</t>
  </si>
  <si>
    <t>0.00052526</t>
  </si>
  <si>
    <t>586.403</t>
  </si>
  <si>
    <t>189139895.0</t>
  </si>
  <si>
    <t>0.00161948</t>
  </si>
  <si>
    <t>4081.71</t>
  </si>
  <si>
    <t>60383392.0</t>
  </si>
  <si>
    <t>80950613.0</t>
  </si>
  <si>
    <t>59.92</t>
  </si>
  <si>
    <t>0.00788303</t>
  </si>
  <si>
    <t>4132.3</t>
  </si>
  <si>
    <t>-35.74</t>
  </si>
  <si>
    <t>1.17933</t>
  </si>
  <si>
    <t>0.00026943</t>
  </si>
  <si>
    <t>0.00184749</t>
  </si>
  <si>
    <t>624.298</t>
  </si>
  <si>
    <t>0.0175087</t>
  </si>
  <si>
    <t>601.01</t>
  </si>
  <si>
    <t>0.0520007</t>
  </si>
  <si>
    <t>764.436</t>
  </si>
  <si>
    <t>19.37</t>
  </si>
  <si>
    <t>61.4</t>
  </si>
  <si>
    <t>0.000744118</t>
  </si>
  <si>
    <t>1422.39</t>
  </si>
  <si>
    <t>109448749.0</t>
  </si>
  <si>
    <t>920.522</t>
  </si>
  <si>
    <t>0.00700346</t>
  </si>
  <si>
    <t>664.147</t>
  </si>
  <si>
    <t>11454878.0</t>
  </si>
  <si>
    <t>158.08</t>
  </si>
  <si>
    <t>0.00298092</t>
  </si>
  <si>
    <t>1109.13</t>
  </si>
  <si>
    <t>-25.98</t>
  </si>
  <si>
    <t>0.000501327</t>
  </si>
  <si>
    <t>1574.01</t>
  </si>
  <si>
    <t>0.00153354</t>
  </si>
  <si>
    <t>685.227</t>
  </si>
  <si>
    <t>-38.91</t>
  </si>
  <si>
    <t>0.00245121</t>
  </si>
  <si>
    <t>4592.23</t>
  </si>
  <si>
    <t>0.00218858</t>
  </si>
  <si>
    <t>569.881</t>
  </si>
  <si>
    <t>0.00446471</t>
  </si>
  <si>
    <t>2573.98</t>
  </si>
  <si>
    <t>11.02</t>
  </si>
  <si>
    <t>0.10956</t>
  </si>
  <si>
    <t>1400.69</t>
  </si>
  <si>
    <t>462928.0</t>
  </si>
  <si>
    <t>0.00758852</t>
  </si>
  <si>
    <t>726.031</t>
  </si>
  <si>
    <t>-28.09</t>
  </si>
  <si>
    <t>0.0000875433</t>
  </si>
  <si>
    <t>768.398</t>
  </si>
  <si>
    <t>20.8</t>
  </si>
  <si>
    <t>0.00101453</t>
  </si>
  <si>
    <t>4343.35</t>
  </si>
  <si>
    <t>43512380.0</t>
  </si>
  <si>
    <t>1005624790.0</t>
  </si>
  <si>
    <t>0.00216585</t>
  </si>
  <si>
    <t>602.66</t>
  </si>
  <si>
    <t>0.0185271</t>
  </si>
  <si>
    <t>1129.35</t>
  </si>
  <si>
    <t>2.18858</t>
  </si>
  <si>
    <t>792.267</t>
  </si>
  <si>
    <t>25.31</t>
  </si>
  <si>
    <t>0.00127761</t>
  </si>
  <si>
    <t>34681.4</t>
  </si>
  <si>
    <t>419.3</t>
  </si>
  <si>
    <t>0.0310022</t>
  </si>
  <si>
    <t>849.244</t>
  </si>
  <si>
    <t>1295975.0</t>
  </si>
  <si>
    <t>0.00795548</t>
  </si>
  <si>
    <t>1521.08</t>
  </si>
  <si>
    <t>0.00093325</t>
  </si>
  <si>
    <t>739.532</t>
  </si>
  <si>
    <t>41290151.0</t>
  </si>
  <si>
    <t>186140152.0</t>
  </si>
  <si>
    <t>0.00960941</t>
  </si>
  <si>
    <t>1065.01</t>
  </si>
  <si>
    <t>0.0000753562</t>
  </si>
  <si>
    <t>10524.1</t>
  </si>
  <si>
    <t>79.61</t>
  </si>
  <si>
    <t>52.45</t>
  </si>
  <si>
    <t>0.0597921</t>
  </si>
  <si>
    <t>694.685</t>
  </si>
  <si>
    <t>-50.9</t>
  </si>
  <si>
    <t>0.000895993</t>
  </si>
  <si>
    <t>1495.25</t>
  </si>
  <si>
    <t>0.00368409</t>
  </si>
  <si>
    <t>1709.26</t>
  </si>
  <si>
    <t>60.38</t>
  </si>
  <si>
    <t>0.0124593</t>
  </si>
  <si>
    <t>544.801</t>
  </si>
  <si>
    <t>0.0052654</t>
  </si>
  <si>
    <t>2470.34</t>
  </si>
  <si>
    <t>0.00273284</t>
  </si>
  <si>
    <t>991.079</t>
  </si>
  <si>
    <t>8022072.0</t>
  </si>
  <si>
    <t>8222072.0</t>
  </si>
  <si>
    <t>-33.41</t>
  </si>
  <si>
    <t>0.0250619</t>
  </si>
  <si>
    <t>1680.39</t>
  </si>
  <si>
    <t>0.000437716</t>
  </si>
  <si>
    <t>1421.36</t>
  </si>
  <si>
    <t>36033020.0</t>
  </si>
  <si>
    <t>188218.0</t>
  </si>
  <si>
    <t>5730.23</t>
  </si>
  <si>
    <t>13.7</t>
  </si>
  <si>
    <t>0.00376145</t>
  </si>
  <si>
    <t>5651.33</t>
  </si>
  <si>
    <t>45.57</t>
  </si>
  <si>
    <t>50.21</t>
  </si>
  <si>
    <t>0.00284516</t>
  </si>
  <si>
    <t>836.436</t>
  </si>
  <si>
    <t>-37.42</t>
  </si>
  <si>
    <t>-41.41</t>
  </si>
  <si>
    <t>0.00760461</t>
  </si>
  <si>
    <t>1403.74</t>
  </si>
  <si>
    <t>-27.49</t>
  </si>
  <si>
    <t>-40.87</t>
  </si>
  <si>
    <t>0.00152735</t>
  </si>
  <si>
    <t>1084.35</t>
  </si>
  <si>
    <t>0.00475674</t>
  </si>
  <si>
    <t>14046.3</t>
  </si>
  <si>
    <t>379437.0</t>
  </si>
  <si>
    <t>33565379437.0</t>
  </si>
  <si>
    <t>-34.79</t>
  </si>
  <si>
    <t>0.0181141</t>
  </si>
  <si>
    <t>599.142</t>
  </si>
  <si>
    <t>-27.06</t>
  </si>
  <si>
    <t>0.00324981</t>
  </si>
  <si>
    <t>107487.0</t>
  </si>
  <si>
    <t>0.0256064</t>
  </si>
  <si>
    <t>0.00000585</t>
  </si>
  <si>
    <t>32675.0</t>
  </si>
  <si>
    <t>44451.0</t>
  </si>
  <si>
    <t>1600044451.0</t>
  </si>
  <si>
    <t>-39.14</t>
  </si>
  <si>
    <t>-95.22</t>
  </si>
  <si>
    <t>35.97</t>
  </si>
  <si>
    <t>-63.1</t>
  </si>
  <si>
    <t>2.16987</t>
  </si>
  <si>
    <t>0.00049572</t>
  </si>
  <si>
    <t>43.3973</t>
  </si>
  <si>
    <t>-46.13</t>
  </si>
  <si>
    <t>0.0457414</t>
  </si>
  <si>
    <t>78.3908</t>
  </si>
  <si>
    <t>32.36</t>
  </si>
  <si>
    <t>0.00244171</t>
  </si>
  <si>
    <t>41.4575</t>
  </si>
  <si>
    <t>1046091435.0</t>
  </si>
  <si>
    <t>-31.71</t>
  </si>
  <si>
    <t>0.20135</t>
  </si>
  <si>
    <t>90.6099</t>
  </si>
  <si>
    <t>0.00279782</t>
  </si>
  <si>
    <t>155.978</t>
  </si>
  <si>
    <t>709782142.0</t>
  </si>
  <si>
    <t>25.66</t>
  </si>
  <si>
    <t>0.00658708</t>
  </si>
  <si>
    <t>152.724</t>
  </si>
  <si>
    <t>251706492.0</t>
  </si>
  <si>
    <t>15.76</t>
  </si>
  <si>
    <t>3.53322</t>
  </si>
  <si>
    <t>0.0008072</t>
  </si>
  <si>
    <t>421.592</t>
  </si>
  <si>
    <t>0.154295</t>
  </si>
  <si>
    <t>33.2186</t>
  </si>
  <si>
    <t>1.53096</t>
  </si>
  <si>
    <t>140.728</t>
  </si>
  <si>
    <t>1002393.0</t>
  </si>
  <si>
    <t>0.000133095</t>
  </si>
  <si>
    <t>205.391</t>
  </si>
  <si>
    <t>40.58</t>
  </si>
  <si>
    <t>0.0656039</t>
  </si>
  <si>
    <t>59.6644</t>
  </si>
  <si>
    <t>0.0000150279</t>
  </si>
  <si>
    <t>314.59</t>
  </si>
  <si>
    <t>20.62</t>
  </si>
  <si>
    <t>0.00159042</t>
  </si>
  <si>
    <t>382.886</t>
  </si>
  <si>
    <t>822884941.0</t>
  </si>
  <si>
    <t>9.43649</t>
  </si>
  <si>
    <t>0.00215585</t>
  </si>
  <si>
    <t>101.202</t>
  </si>
  <si>
    <t>0.0000109267</t>
  </si>
  <si>
    <t>405.263</t>
  </si>
  <si>
    <t>-70.94</t>
  </si>
  <si>
    <t>-68.78</t>
  </si>
  <si>
    <t>0.00010105</t>
  </si>
  <si>
    <t>276.184</t>
  </si>
  <si>
    <t>10139175643.0</t>
  </si>
  <si>
    <t>10141175643.0</t>
  </si>
  <si>
    <t>0.165763</t>
  </si>
  <si>
    <t>4.9729</t>
  </si>
  <si>
    <t>6056590.0</t>
  </si>
  <si>
    <t>8.15234</t>
  </si>
  <si>
    <t>0.0134817</t>
  </si>
  <si>
    <t>289.064</t>
  </si>
  <si>
    <t>60473445.0</t>
  </si>
  <si>
    <t>0.0798979</t>
  </si>
  <si>
    <t>317.079</t>
  </si>
  <si>
    <t>0.0431116</t>
  </si>
  <si>
    <t>464.425</t>
  </si>
  <si>
    <t>-18.93</t>
  </si>
  <si>
    <t>22.3059</t>
  </si>
  <si>
    <t>67.8726</t>
  </si>
  <si>
    <t>0.0875433</t>
  </si>
  <si>
    <t>0.638191</t>
  </si>
  <si>
    <t>-45.39</t>
  </si>
  <si>
    <t>0.00949845</t>
  </si>
  <si>
    <t>70.7599</t>
  </si>
  <si>
    <t>73135834.0</t>
  </si>
  <si>
    <t>0.0000437716</t>
  </si>
  <si>
    <t>0.656531</t>
  </si>
  <si>
    <t>0.0000435636</t>
  </si>
  <si>
    <t>10.8019</t>
  </si>
  <si>
    <t>51.1</t>
  </si>
  <si>
    <t>0.00397454</t>
  </si>
  <si>
    <t>235.566</t>
  </si>
  <si>
    <t>166773217.0</t>
  </si>
  <si>
    <t>0.0501489</t>
  </si>
  <si>
    <t>35.1391</t>
  </si>
  <si>
    <t>0.000175087</t>
  </si>
  <si>
    <t>76.0617</t>
  </si>
  <si>
    <t>0.00713478</t>
  </si>
  <si>
    <t>1.29017</t>
  </si>
  <si>
    <t>0.000158384</t>
  </si>
  <si>
    <t>371.896</t>
  </si>
  <si>
    <t>3421428641.0</t>
  </si>
  <si>
    <t>0.0055157</t>
  </si>
  <si>
    <t>207.822</t>
  </si>
  <si>
    <t>0.064213</t>
  </si>
  <si>
    <t>101.883</t>
  </si>
  <si>
    <t>10.35</t>
  </si>
  <si>
    <t>0.00107103</t>
  </si>
  <si>
    <t>193.349</t>
  </si>
  <si>
    <t>51.11</t>
  </si>
  <si>
    <t>0.0258225</t>
  </si>
  <si>
    <t>383.049</t>
  </si>
  <si>
    <t>39.41</t>
  </si>
  <si>
    <t>0.224023</t>
  </si>
  <si>
    <t>18.2576</t>
  </si>
  <si>
    <t>0.00428962</t>
  </si>
  <si>
    <t>114.663</t>
  </si>
  <si>
    <t>101570885.0</t>
  </si>
  <si>
    <t>0.000552534</t>
  </si>
  <si>
    <t>158.82</t>
  </si>
  <si>
    <t>0.0000284832</t>
  </si>
  <si>
    <t>0.34284</t>
  </si>
  <si>
    <t>14816407500.0</t>
  </si>
  <si>
    <t>22.96</t>
  </si>
  <si>
    <t>0.00927959</t>
  </si>
  <si>
    <t>179.311</t>
  </si>
  <si>
    <t>44162692.0</t>
  </si>
  <si>
    <t>0.000306146</t>
  </si>
  <si>
    <t>419.488</t>
  </si>
  <si>
    <t>1318208629.0</t>
  </si>
  <si>
    <t>0.0156703</t>
  </si>
  <si>
    <t>179.191</t>
  </si>
  <si>
    <t>-31.39</t>
  </si>
  <si>
    <t>0.0658326</t>
  </si>
  <si>
    <t>70.7518</t>
  </si>
  <si>
    <t>0.0000028809</t>
  </si>
  <si>
    <t>150.083</t>
  </si>
  <si>
    <t>-37.96</t>
  </si>
  <si>
    <t>0.005559</t>
  </si>
  <si>
    <t>54.1163</t>
  </si>
  <si>
    <t>0.000630402</t>
  </si>
  <si>
    <t>15.9624</t>
  </si>
  <si>
    <t>562097188.0</t>
  </si>
  <si>
    <t>0.0176834</t>
  </si>
  <si>
    <t>397.222</t>
  </si>
  <si>
    <t>27.46</t>
  </si>
  <si>
    <t>0.615342</t>
  </si>
  <si>
    <t>346.005</t>
  </si>
  <si>
    <t>0.0000023534</t>
  </si>
  <si>
    <t>336.669</t>
  </si>
  <si>
    <t>-42.55</t>
  </si>
  <si>
    <t>-57.68</t>
  </si>
  <si>
    <t>0.00770381</t>
  </si>
  <si>
    <t>31.4493</t>
  </si>
  <si>
    <t>0.0477111</t>
  </si>
  <si>
    <t>20.8712</t>
  </si>
  <si>
    <t>-31.67</t>
  </si>
  <si>
    <t>0.026901</t>
  </si>
  <si>
    <t>9.89658</t>
  </si>
  <si>
    <t>11805621.0</t>
  </si>
  <si>
    <t>48.38</t>
  </si>
  <si>
    <t>0.104179</t>
  </si>
  <si>
    <t>286.976</t>
  </si>
  <si>
    <t>3047856.0</t>
  </si>
  <si>
    <t>0.0052526</t>
  </si>
  <si>
    <t>6.54899</t>
  </si>
  <si>
    <t>8.75433</t>
  </si>
  <si>
    <t>47.5726</t>
  </si>
  <si>
    <t>-28.75</t>
  </si>
  <si>
    <t>0.000656536</t>
  </si>
  <si>
    <t>24.8594</t>
  </si>
  <si>
    <t>459674280.0</t>
  </si>
  <si>
    <t>11.05</t>
  </si>
  <si>
    <t>26.78</t>
  </si>
  <si>
    <t>1.53905</t>
  </si>
  <si>
    <t>212.885</t>
  </si>
  <si>
    <t>83.6437</t>
  </si>
  <si>
    <t>0.239251</t>
  </si>
  <si>
    <t>109.378</t>
  </si>
  <si>
    <t>32.29</t>
  </si>
  <si>
    <t>0.00601101</t>
  </si>
  <si>
    <t>184.756</t>
  </si>
  <si>
    <t>43.74</t>
  </si>
  <si>
    <t>0.00529444</t>
  </si>
  <si>
    <t>88.9044</t>
  </si>
  <si>
    <t>24.7</t>
  </si>
  <si>
    <t>0.254678</t>
  </si>
  <si>
    <t>0.00005818</t>
  </si>
  <si>
    <t>2.03742</t>
  </si>
  <si>
    <t>-66.22</t>
  </si>
  <si>
    <t>-25.51</t>
  </si>
  <si>
    <t>0.0409057</t>
  </si>
  <si>
    <t>0.00000935</t>
  </si>
  <si>
    <t>141.587</t>
  </si>
  <si>
    <t>32.3</t>
  </si>
  <si>
    <t>0.0886177</t>
  </si>
  <si>
    <t>0.00002025</t>
  </si>
  <si>
    <t>264.969</t>
  </si>
  <si>
    <t>37.38</t>
  </si>
  <si>
    <t>0.00353618</t>
  </si>
  <si>
    <t>0.0781369</t>
  </si>
  <si>
    <t>26.7783</t>
  </si>
  <si>
    <t>27.33</t>
  </si>
  <si>
    <t>0.0460602</t>
  </si>
  <si>
    <t>413.549</t>
  </si>
  <si>
    <t>0.74228</t>
  </si>
  <si>
    <t>7.92011</t>
  </si>
  <si>
    <t>-22.57</t>
  </si>
  <si>
    <t>0.000447043</t>
  </si>
  <si>
    <t>120.646</t>
  </si>
  <si>
    <t>-10.88</t>
  </si>
  <si>
    <t>1.00867</t>
  </si>
  <si>
    <t>0.607551</t>
  </si>
  <si>
    <t>0.00065445</t>
  </si>
  <si>
    <t>116.906</t>
  </si>
  <si>
    <t>-91.36</t>
  </si>
  <si>
    <t>0.0000099351</t>
  </si>
  <si>
    <t>255.401</t>
  </si>
  <si>
    <t>20603445289.0</t>
  </si>
  <si>
    <t>20910179096.0</t>
  </si>
  <si>
    <t>85.83</t>
  </si>
  <si>
    <t>0.000350173</t>
  </si>
  <si>
    <t>5.06801</t>
  </si>
  <si>
    <t>-8.67</t>
  </si>
  <si>
    <t>0.00135323</t>
  </si>
  <si>
    <t>65.0802</t>
  </si>
  <si>
    <t>145819600.0</t>
  </si>
  <si>
    <t>0.00170515</t>
  </si>
  <si>
    <t>159.784</t>
  </si>
  <si>
    <t>111951702.0</t>
  </si>
  <si>
    <t>0.0116278</t>
  </si>
  <si>
    <t>261.992</t>
  </si>
  <si>
    <t>16.64</t>
  </si>
  <si>
    <t>0.01265</t>
  </si>
  <si>
    <t>210.104</t>
  </si>
  <si>
    <t>0.000131307</t>
  </si>
  <si>
    <t>421.909</t>
  </si>
  <si>
    <t>0.0000039942</t>
  </si>
  <si>
    <t>103.27</t>
  </si>
  <si>
    <t>45895620000.0</t>
  </si>
  <si>
    <t>0.0000017216</t>
  </si>
  <si>
    <t>129.045</t>
  </si>
  <si>
    <t>102088294361</t>
  </si>
  <si>
    <t>-11.81</t>
  </si>
  <si>
    <t>0.00139954</t>
  </si>
  <si>
    <t>26.1841</t>
  </si>
  <si>
    <t>0.875433</t>
  </si>
  <si>
    <t>3941883952.0</t>
  </si>
  <si>
    <t>922341141883952</t>
  </si>
  <si>
    <t>0.00590917</t>
  </si>
  <si>
    <t>137.058</t>
  </si>
  <si>
    <t>29036588.0</t>
  </si>
  <si>
    <t>0.00507751</t>
  </si>
  <si>
    <t>328.384</t>
  </si>
  <si>
    <t>33358143.0</t>
  </si>
  <si>
    <t>24.0</t>
  </si>
  <si>
    <t>0.0177713</t>
  </si>
  <si>
    <t>77.1601</t>
  </si>
  <si>
    <t>0.0000115438</t>
  </si>
  <si>
    <t>6.52032</t>
  </si>
  <si>
    <t>-10.78</t>
  </si>
  <si>
    <t>0.0126938</t>
  </si>
  <si>
    <t>9.55796</t>
  </si>
  <si>
    <t>0.000431099</t>
  </si>
  <si>
    <t>62.0394</t>
  </si>
  <si>
    <t>43.36</t>
  </si>
  <si>
    <t>0.000872901</t>
  </si>
  <si>
    <t>21.1975</t>
  </si>
  <si>
    <t>183622543.0</t>
  </si>
  <si>
    <t>0.0363305</t>
  </si>
  <si>
    <t>80.0885</t>
  </si>
  <si>
    <t>4186714.0</t>
  </si>
  <si>
    <t>15.7777</t>
  </si>
  <si>
    <t>66.63</t>
  </si>
  <si>
    <t>172.808</t>
  </si>
  <si>
    <t>1134209322.0</t>
  </si>
  <si>
    <t>-39.73</t>
  </si>
  <si>
    <t>0.00109429</t>
  </si>
  <si>
    <t>135656245.0</t>
  </si>
  <si>
    <t>-13.69</t>
  </si>
  <si>
    <t>0.00876956</t>
  </si>
  <si>
    <t>409.892</t>
  </si>
  <si>
    <t>16857845.0</t>
  </si>
  <si>
    <t>0.00503374</t>
  </si>
  <si>
    <t>12.5783</t>
  </si>
  <si>
    <t>29009028.0</t>
  </si>
  <si>
    <t>24.6</t>
  </si>
  <si>
    <t>0.0186728</t>
  </si>
  <si>
    <t>410.353</t>
  </si>
  <si>
    <t>0.00959445</t>
  </si>
  <si>
    <t>315.033</t>
  </si>
  <si>
    <t>15142122.0</t>
  </si>
  <si>
    <t>8.55</t>
  </si>
  <si>
    <t>16.3853</t>
  </si>
  <si>
    <t>0.00374335</t>
  </si>
  <si>
    <t>485.532</t>
  </si>
  <si>
    <t>397.601</t>
  </si>
  <si>
    <t>156508500248</t>
  </si>
  <si>
    <t>0.00747357</t>
  </si>
  <si>
    <t>129.33</t>
  </si>
  <si>
    <t>0.0156663</t>
  </si>
  <si>
    <t>201.386</t>
  </si>
  <si>
    <t>42.04</t>
  </si>
  <si>
    <t>64.93</t>
  </si>
  <si>
    <t>0.000569031</t>
  </si>
  <si>
    <t>34.7158</t>
  </si>
  <si>
    <t>248063525.0</t>
  </si>
  <si>
    <t>-12.94</t>
  </si>
  <si>
    <t>0.00906085</t>
  </si>
  <si>
    <t>151.462</t>
  </si>
  <si>
    <t>0.00796644</t>
  </si>
  <si>
    <t>19.1647</t>
  </si>
  <si>
    <t>0.00508054</t>
  </si>
  <si>
    <t>394.108</t>
  </si>
  <si>
    <t>26838430.0</t>
  </si>
  <si>
    <t>54.03</t>
  </si>
  <si>
    <t>0.00126938</t>
  </si>
  <si>
    <t>231.99</t>
  </si>
  <si>
    <t>105143619.0</t>
  </si>
  <si>
    <t>76.12</t>
  </si>
  <si>
    <t>34248574.0</t>
  </si>
  <si>
    <t>84248574.0</t>
  </si>
  <si>
    <t>0.0130877</t>
  </si>
  <si>
    <t>91.4525</t>
  </si>
  <si>
    <t>55.35</t>
  </si>
  <si>
    <t>0.0551523</t>
  </si>
  <si>
    <t>431.686</t>
  </si>
  <si>
    <t>7005484.0</t>
  </si>
  <si>
    <t>6.07122</t>
  </si>
  <si>
    <t>118954421.0</t>
  </si>
  <si>
    <t>0.000656575</t>
  </si>
  <si>
    <t>13.0131</t>
  </si>
  <si>
    <t>124839.0</t>
  </si>
  <si>
    <t>28.5204</t>
  </si>
  <si>
    <t>83.2551</t>
  </si>
  <si>
    <t>-26.78</t>
  </si>
  <si>
    <t>0.03494</t>
  </si>
  <si>
    <t>63.5182</t>
  </si>
  <si>
    <t>0.000297644</t>
  </si>
  <si>
    <t>332.091</t>
  </si>
  <si>
    <t>0.0221922</t>
  </si>
  <si>
    <t>1.0913</t>
  </si>
  <si>
    <t>42537971.0</t>
  </si>
  <si>
    <t>10042537971.0</t>
  </si>
  <si>
    <t>0.0021844</t>
  </si>
  <si>
    <t>13.8697</t>
  </si>
  <si>
    <t>-21.77</t>
  </si>
  <si>
    <t>0.000610317</t>
  </si>
  <si>
    <t>211.829</t>
  </si>
  <si>
    <t>192778078.0</t>
  </si>
  <si>
    <t>14.65</t>
  </si>
  <si>
    <t>0.00899122</t>
  </si>
  <si>
    <t>289.233</t>
  </si>
  <si>
    <t>-45.26</t>
  </si>
  <si>
    <t>0.00114622</t>
  </si>
  <si>
    <t>166.617</t>
  </si>
  <si>
    <t>9.6</t>
  </si>
  <si>
    <t>0.0000016971</t>
  </si>
  <si>
    <t>324.213</t>
  </si>
  <si>
    <t>0.0451202</t>
  </si>
  <si>
    <t>44.2207</t>
  </si>
  <si>
    <t>41.45</t>
  </si>
  <si>
    <t>0.0000876402</t>
  </si>
  <si>
    <t>458.724</t>
  </si>
  <si>
    <t>-28.94</t>
  </si>
  <si>
    <t>0.0351528</t>
  </si>
  <si>
    <t>146.116</t>
  </si>
  <si>
    <t>3111640.0</t>
  </si>
  <si>
    <t>41.16</t>
  </si>
  <si>
    <t>1206.51</t>
  </si>
  <si>
    <t>0.275637</t>
  </si>
  <si>
    <t>23.3176</t>
  </si>
  <si>
    <t>0.0358141</t>
  </si>
  <si>
    <t>6.84049</t>
  </si>
  <si>
    <t>8.31661</t>
  </si>
  <si>
    <t>167.386</t>
  </si>
  <si>
    <t>33.98</t>
  </si>
  <si>
    <t>0.0071696</t>
  </si>
  <si>
    <t>297.576</t>
  </si>
  <si>
    <t>0.000346574</t>
  </si>
  <si>
    <t>234.572</t>
  </si>
  <si>
    <t>-73.28</t>
  </si>
  <si>
    <t>0.00459602</t>
  </si>
  <si>
    <t>9.34825</t>
  </si>
  <si>
    <t>22154250.0</t>
  </si>
  <si>
    <t>0.00787544</t>
  </si>
  <si>
    <t>456.516</t>
  </si>
  <si>
    <t>12819517.0</t>
  </si>
  <si>
    <t>0.00157382</t>
  </si>
  <si>
    <t>76.7112</t>
  </si>
  <si>
    <t>18.44</t>
  </si>
  <si>
    <t>0.00227613</t>
  </si>
  <si>
    <t>3.12734</t>
  </si>
  <si>
    <t>0.000238754</t>
  </si>
  <si>
    <t>193.625</t>
  </si>
  <si>
    <t>147.75</t>
  </si>
  <si>
    <t>0.00281627</t>
  </si>
  <si>
    <t>38.7305</t>
  </si>
  <si>
    <t>33954528.0</t>
  </si>
  <si>
    <t>0.00104136</t>
  </si>
  <si>
    <t>79.0366</t>
  </si>
  <si>
    <t>90743452.0</t>
  </si>
  <si>
    <t>104.68</t>
  </si>
  <si>
    <t>0.125475</t>
  </si>
  <si>
    <t>272.5</t>
  </si>
  <si>
    <t>751593.0</t>
  </si>
  <si>
    <t>0.0000448332</t>
  </si>
  <si>
    <t>4.98509</t>
  </si>
  <si>
    <t>0.00130387</t>
  </si>
  <si>
    <t>21.6526</t>
  </si>
  <si>
    <t>0.00439992</t>
  </si>
  <si>
    <t>3.96971</t>
  </si>
  <si>
    <t>0.0105776</t>
  </si>
  <si>
    <t>392.109</t>
  </si>
  <si>
    <t>8228515.0</t>
  </si>
  <si>
    <t>0.0243808</t>
  </si>
  <si>
    <t>29.1055</t>
  </si>
  <si>
    <t>3550650.0</t>
  </si>
  <si>
    <t>0.00867823</t>
  </si>
  <si>
    <t>130.39</t>
  </si>
  <si>
    <t>5021.7</t>
  </si>
  <si>
    <t>0.128599</t>
  </si>
  <si>
    <t>2.18539</t>
  </si>
  <si>
    <t>0.000573425</t>
  </si>
  <si>
    <t>62.7778</t>
  </si>
  <si>
    <t>0.00341907</t>
  </si>
  <si>
    <t>344.056</t>
  </si>
  <si>
    <t>-22.93</t>
  </si>
  <si>
    <t>0.0635959</t>
  </si>
  <si>
    <t>292.555</t>
  </si>
  <si>
    <t>20.74</t>
  </si>
  <si>
    <t>0.788065</t>
  </si>
  <si>
    <t>150.464</t>
  </si>
  <si>
    <t>77.688</t>
  </si>
  <si>
    <t>0.0537708</t>
  </si>
  <si>
    <t>0.00001228</t>
  </si>
  <si>
    <t>14.1428</t>
  </si>
  <si>
    <t>1405493.0</t>
  </si>
  <si>
    <t>16.4999</t>
  </si>
  <si>
    <t>0.00437716</t>
  </si>
  <si>
    <t>149.367</t>
  </si>
  <si>
    <t>0.0064782</t>
  </si>
  <si>
    <t>2.29976</t>
  </si>
  <si>
    <t>0.0177804</t>
  </si>
  <si>
    <t>83.541</t>
  </si>
  <si>
    <t>-40.98</t>
  </si>
  <si>
    <t>0.000437696</t>
  </si>
  <si>
    <t>26.2662</t>
  </si>
  <si>
    <t>-10.95</t>
  </si>
  <si>
    <t>21.91</t>
  </si>
  <si>
    <t>0.00236367</t>
  </si>
  <si>
    <t>463.119</t>
  </si>
  <si>
    <t>29604376.0</t>
  </si>
  <si>
    <t>89503626.0</t>
  </si>
  <si>
    <t>35.67</t>
  </si>
  <si>
    <t>64.29</t>
  </si>
  <si>
    <t>0.0115119</t>
  </si>
  <si>
    <t>14.0032</t>
  </si>
  <si>
    <t>0.0871056</t>
  </si>
  <si>
    <t>143.442</t>
  </si>
  <si>
    <t>41.47</t>
  </si>
  <si>
    <t>45.83</t>
  </si>
  <si>
    <t>0.00347452</t>
  </si>
  <si>
    <t>27.1212</t>
  </si>
  <si>
    <t>0.00337042</t>
  </si>
  <si>
    <t>257.386</t>
  </si>
  <si>
    <t>0.000919205</t>
  </si>
  <si>
    <t>34.1202</t>
  </si>
  <si>
    <t>0.00236353</t>
  </si>
  <si>
    <t>5.54598</t>
  </si>
  <si>
    <t>35.64</t>
  </si>
  <si>
    <t>0.000875433</t>
  </si>
  <si>
    <t>7.01134</t>
  </si>
  <si>
    <t>0.0122736</t>
  </si>
  <si>
    <t>23.7543</t>
  </si>
  <si>
    <t>0.000610865</t>
  </si>
  <si>
    <t>47.4631</t>
  </si>
  <si>
    <t>106080432.0</t>
  </si>
  <si>
    <t>0.00532738</t>
  </si>
  <si>
    <t>106.856</t>
  </si>
  <si>
    <t>12011778.0</t>
  </si>
  <si>
    <t>-43.11</t>
  </si>
  <si>
    <t>0.0590917</t>
  </si>
  <si>
    <t>84.8485</t>
  </si>
  <si>
    <t>0.00280753</t>
  </si>
  <si>
    <t>9.35933</t>
  </si>
  <si>
    <t>0.00876808</t>
  </si>
  <si>
    <t>50.3091</t>
  </si>
  <si>
    <t>7084540.0</t>
  </si>
  <si>
    <t>-38.69</t>
  </si>
  <si>
    <t>0.00376436</t>
  </si>
  <si>
    <t>1.12931</t>
  </si>
  <si>
    <t>16370525.0</t>
  </si>
  <si>
    <t>-50.6</t>
  </si>
  <si>
    <t>0.010798</t>
  </si>
  <si>
    <t>384.781</t>
  </si>
  <si>
    <t>216.631</t>
  </si>
  <si>
    <t>0.00521754</t>
  </si>
  <si>
    <t>1.01714</t>
  </si>
  <si>
    <t>11680504.0</t>
  </si>
  <si>
    <t>0.0121671</t>
  </si>
  <si>
    <t>195.889</t>
  </si>
  <si>
    <t>-52.28</t>
  </si>
  <si>
    <t>0.00625935</t>
  </si>
  <si>
    <t>12.1736</t>
  </si>
  <si>
    <t>0.000821876</t>
  </si>
  <si>
    <t>107.094</t>
  </si>
  <si>
    <t>0.00335579</t>
  </si>
  <si>
    <t>13.1286</t>
  </si>
  <si>
    <t>0.00603822</t>
  </si>
  <si>
    <t>26.426</t>
  </si>
  <si>
    <t>37.41</t>
  </si>
  <si>
    <t>0.00267007</t>
  </si>
  <si>
    <t>6.44358</t>
  </si>
  <si>
    <t>22298162.0</t>
  </si>
  <si>
    <t>0.000507304</t>
  </si>
  <si>
    <t>138.114</t>
  </si>
  <si>
    <t>0.0000461464</t>
  </si>
  <si>
    <t>176.374</t>
  </si>
  <si>
    <t>0.0081853</t>
  </si>
  <si>
    <t>5.59235</t>
  </si>
  <si>
    <t>0.0084917</t>
  </si>
  <si>
    <t>16.9919</t>
  </si>
  <si>
    <t>6602142.0</t>
  </si>
  <si>
    <t>206602142.0</t>
  </si>
  <si>
    <t>0.0442969</t>
  </si>
  <si>
    <t>2.79565</t>
  </si>
  <si>
    <t>8.15</t>
  </si>
  <si>
    <t>0.0612803</t>
  </si>
  <si>
    <t>3.88907</t>
  </si>
  <si>
    <t>0.00282629</t>
  </si>
  <si>
    <t>455.703</t>
  </si>
  <si>
    <t>23.84</t>
  </si>
  <si>
    <t>0.0342294</t>
  </si>
  <si>
    <t>1.71143</t>
  </si>
  <si>
    <t>0.121607</t>
  </si>
  <si>
    <t>368.593</t>
  </si>
  <si>
    <t>0.00669706</t>
  </si>
  <si>
    <t>3.79692</t>
  </si>
  <si>
    <t>16.0</t>
  </si>
  <si>
    <t>0.0000098395</t>
  </si>
  <si>
    <t>35.405</t>
  </si>
  <si>
    <t>18.56</t>
  </si>
  <si>
    <t>0.0062047</t>
  </si>
  <si>
    <t>46.1484</t>
  </si>
  <si>
    <t>-33.11</t>
  </si>
  <si>
    <t>0.0344363</t>
  </si>
  <si>
    <t>245.737</t>
  </si>
  <si>
    <t>28.4</t>
  </si>
  <si>
    <t>0.048548</t>
  </si>
  <si>
    <t>0.00001109</t>
  </si>
  <si>
    <t>4.80625</t>
  </si>
  <si>
    <t>32.02</t>
  </si>
  <si>
    <t>0.00538391</t>
  </si>
  <si>
    <t>50.6603</t>
  </si>
  <si>
    <t>0.00774758</t>
  </si>
  <si>
    <t>0.345139</t>
  </si>
  <si>
    <t>0.000612803</t>
  </si>
  <si>
    <t>72.7104</t>
  </si>
  <si>
    <t>0.0426336</t>
  </si>
  <si>
    <t>0.779442</t>
  </si>
  <si>
    <t>153.657</t>
  </si>
  <si>
    <t>129.638</t>
  </si>
  <si>
    <t>-17.02</t>
  </si>
  <si>
    <t>0.0520755</t>
  </si>
  <si>
    <t>81.6599</t>
  </si>
  <si>
    <t>878561.0</t>
  </si>
  <si>
    <t>0.00884187</t>
  </si>
  <si>
    <t>8.53637</t>
  </si>
  <si>
    <t>5087996.0</t>
  </si>
  <si>
    <t>0.00519394</t>
  </si>
  <si>
    <t>423.998</t>
  </si>
  <si>
    <t>0.00205727</t>
  </si>
  <si>
    <t>8.40438</t>
  </si>
  <si>
    <t>0.00087764</t>
  </si>
  <si>
    <t>69.5385</t>
  </si>
  <si>
    <t>11.2209</t>
  </si>
  <si>
    <t>7398835.0</t>
  </si>
  <si>
    <t>0.125722</t>
  </si>
  <si>
    <t>17.0889</t>
  </si>
  <si>
    <t>74.28</t>
  </si>
  <si>
    <t>-32.54</t>
  </si>
  <si>
    <t>0.0238761</t>
  </si>
  <si>
    <t>2.38761</t>
  </si>
  <si>
    <t>0.0000016248</t>
  </si>
  <si>
    <t>10.4554</t>
  </si>
  <si>
    <t>1.62261</t>
  </si>
  <si>
    <t>20.25</t>
  </si>
  <si>
    <t>0.159373</t>
  </si>
  <si>
    <t>27.7816</t>
  </si>
  <si>
    <t>240865.0</t>
  </si>
  <si>
    <t>0.00516051</t>
  </si>
  <si>
    <t>488.311</t>
  </si>
  <si>
    <t>7343422.0</t>
  </si>
  <si>
    <t>0.00439418</t>
  </si>
  <si>
    <t>269.23</t>
  </si>
  <si>
    <t>0.0026263</t>
  </si>
  <si>
    <t>2.28694</t>
  </si>
  <si>
    <t>0.00297647</t>
  </si>
  <si>
    <t>28.9237</t>
  </si>
  <si>
    <t>0.00175087</t>
  </si>
  <si>
    <t>1.24487</t>
  </si>
  <si>
    <t>13.585</t>
  </si>
  <si>
    <t>0.0217983</t>
  </si>
  <si>
    <t>33.7564</t>
  </si>
  <si>
    <t>24.35</t>
  </si>
  <si>
    <t>23.56</t>
  </si>
  <si>
    <t>0.00795783</t>
  </si>
  <si>
    <t>429.57</t>
  </si>
  <si>
    <t>71.76</t>
  </si>
  <si>
    <t>0.0110488</t>
  </si>
  <si>
    <t>2.22122</t>
  </si>
  <si>
    <t>0.00547146</t>
  </si>
  <si>
    <t>72.9631</t>
  </si>
  <si>
    <t>0.0382065</t>
  </si>
  <si>
    <t>131.673</t>
  </si>
  <si>
    <t>-45.93</t>
  </si>
  <si>
    <t>0.000306402</t>
  </si>
  <si>
    <t>22.4416</t>
  </si>
  <si>
    <t>-29.7</t>
  </si>
  <si>
    <t>39.88</t>
  </si>
  <si>
    <t>0.00258253</t>
  </si>
  <si>
    <t>14.7387</t>
  </si>
  <si>
    <t>0.00170709</t>
  </si>
  <si>
    <t>0.43811</t>
  </si>
  <si>
    <t>-12.46</t>
  </si>
  <si>
    <t>109.061</t>
  </si>
  <si>
    <t>67.85</t>
  </si>
  <si>
    <t>0.00700183</t>
  </si>
  <si>
    <t>181.725</t>
  </si>
  <si>
    <t>0.00192595</t>
  </si>
  <si>
    <t>46.9232</t>
  </si>
  <si>
    <t>-55.94</t>
  </si>
  <si>
    <t>0.00163508</t>
  </si>
  <si>
    <t>9.58704</t>
  </si>
  <si>
    <t>0.0000015584</t>
  </si>
  <si>
    <t>0.306245</t>
  </si>
  <si>
    <t>19610815794.0</t>
  </si>
  <si>
    <t>0.0000090201</t>
  </si>
  <si>
    <t>38.844</t>
  </si>
  <si>
    <t>-36.27</t>
  </si>
  <si>
    <t>0.00472734</t>
  </si>
  <si>
    <t>288.893</t>
  </si>
  <si>
    <t>6420725.0</t>
  </si>
  <si>
    <t>0.00280139</t>
  </si>
  <si>
    <t>1.6136</t>
  </si>
  <si>
    <t>13.65</t>
  </si>
  <si>
    <t>188.884</t>
  </si>
  <si>
    <t>0.00144049</t>
  </si>
  <si>
    <t>47.2369</t>
  </si>
  <si>
    <t>-25.29</t>
  </si>
  <si>
    <t>0.0013722</t>
  </si>
  <si>
    <t>4.94505</t>
  </si>
  <si>
    <t>14.007</t>
  </si>
  <si>
    <t>393.236</t>
  </si>
  <si>
    <t>0.00131315</t>
  </si>
  <si>
    <t>4.89805</t>
  </si>
  <si>
    <t>0.000884535</t>
  </si>
  <si>
    <t>114.341</t>
  </si>
  <si>
    <t>36.8</t>
  </si>
  <si>
    <t>0.0000884191</t>
  </si>
  <si>
    <t>15.7137</t>
  </si>
  <si>
    <t>299505090.0</t>
  </si>
  <si>
    <t>42.8967</t>
  </si>
  <si>
    <t>0.00237416</t>
  </si>
  <si>
    <t>45.6794</t>
  </si>
  <si>
    <t>-33.62</t>
  </si>
  <si>
    <t>1.02172</t>
  </si>
  <si>
    <t>17.23</t>
  </si>
  <si>
    <t>-26.37</t>
  </si>
  <si>
    <t>51.7005</t>
  </si>
  <si>
    <t>107.377</t>
  </si>
  <si>
    <t>0.0000002203</t>
  </si>
  <si>
    <t>240.537</t>
  </si>
  <si>
    <t>24.52</t>
  </si>
  <si>
    <t>0.0140777</t>
  </si>
  <si>
    <t>75.0233</t>
  </si>
  <si>
    <t>0.00302024</t>
  </si>
  <si>
    <t>18.8157</t>
  </si>
  <si>
    <t>0.00179464</t>
  </si>
  <si>
    <t>25.794</t>
  </si>
  <si>
    <t>0.0000344630</t>
  </si>
  <si>
    <t>3.62707</t>
  </si>
  <si>
    <t>0.00415317</t>
  </si>
  <si>
    <t>28.1889</t>
  </si>
  <si>
    <t>0.000962976</t>
  </si>
  <si>
    <t>9.55736</t>
  </si>
  <si>
    <t>19.2447</t>
  </si>
  <si>
    <t>-50.7</t>
  </si>
  <si>
    <t>0.0437717</t>
  </si>
  <si>
    <t>81.4007</t>
  </si>
  <si>
    <t>0.0129564</t>
  </si>
  <si>
    <t>60.9792</t>
  </si>
  <si>
    <t>0.011687</t>
  </si>
  <si>
    <t>18.3834</t>
  </si>
  <si>
    <t>0.437716</t>
  </si>
  <si>
    <t>0.0144884</t>
  </si>
  <si>
    <t>16.6691</t>
  </si>
  <si>
    <t>169.4</t>
  </si>
  <si>
    <t>0.0686777</t>
  </si>
  <si>
    <t>317.274</t>
  </si>
  <si>
    <t>249859.0</t>
  </si>
  <si>
    <t>10000249859.0</t>
  </si>
  <si>
    <t>29.47</t>
  </si>
  <si>
    <t>0.000525611</t>
  </si>
  <si>
    <t>21.202</t>
  </si>
  <si>
    <t>345.13</t>
  </si>
  <si>
    <t>2.95918</t>
  </si>
  <si>
    <t>0.210104</t>
  </si>
  <si>
    <t>0.285741</t>
  </si>
  <si>
    <t>0.00218856</t>
  </si>
  <si>
    <t>205.81</t>
  </si>
  <si>
    <t>0.021273</t>
  </si>
  <si>
    <t>3.21463</t>
  </si>
  <si>
    <t>2.12358</t>
  </si>
  <si>
    <t>0.00026263</t>
  </si>
  <si>
    <t>3.93936</t>
  </si>
  <si>
    <t>-24.64</t>
  </si>
  <si>
    <t>0.0196972</t>
  </si>
  <si>
    <t>84.6785</t>
  </si>
  <si>
    <t>12.2</t>
  </si>
  <si>
    <t>0.00102157</t>
  </si>
  <si>
    <t>430.421</t>
  </si>
  <si>
    <t>-34.29</t>
  </si>
  <si>
    <t>38.41</t>
  </si>
  <si>
    <t>0.00542768</t>
  </si>
  <si>
    <t>1.89082</t>
  </si>
  <si>
    <t>0.0158016</t>
  </si>
  <si>
    <t>9.44089</t>
  </si>
  <si>
    <t>-44.67</t>
  </si>
  <si>
    <t>0.0535765</t>
  </si>
  <si>
    <t>7.25957</t>
  </si>
  <si>
    <t>141.793</t>
  </si>
  <si>
    <t>-26.88</t>
  </si>
  <si>
    <t>0.00346282</t>
  </si>
  <si>
    <t>0.0623308</t>
  </si>
  <si>
    <t>77.94</t>
  </si>
  <si>
    <t>73.63</t>
  </si>
  <si>
    <t>0.00415831</t>
  </si>
  <si>
    <t>20.5785</t>
  </si>
  <si>
    <t>0.000393952</t>
  </si>
  <si>
    <t>14.6595</t>
  </si>
  <si>
    <t>23373501.0</t>
  </si>
  <si>
    <t>-24.9</t>
  </si>
  <si>
    <t>0.056553</t>
  </si>
  <si>
    <t>11.5853</t>
  </si>
  <si>
    <t>0.00781946</t>
  </si>
  <si>
    <t>19.1057</t>
  </si>
  <si>
    <t>75.8801</t>
  </si>
  <si>
    <t>-12.91</t>
  </si>
  <si>
    <t>20.8985</t>
  </si>
  <si>
    <t>0.00380813</t>
  </si>
  <si>
    <t>23.698</t>
  </si>
  <si>
    <t>32.46</t>
  </si>
  <si>
    <t>57.6</t>
  </si>
  <si>
    <t>0.00974212</t>
  </si>
  <si>
    <t>46.6444</t>
  </si>
  <si>
    <t>0.0307205</t>
  </si>
  <si>
    <t>10.445</t>
  </si>
  <si>
    <t>33.0379</t>
  </si>
  <si>
    <t>39.07</t>
  </si>
  <si>
    <t>420.208</t>
  </si>
  <si>
    <t>29.03</t>
  </si>
  <si>
    <t>234.985</t>
  </si>
  <si>
    <t>53.37</t>
  </si>
  <si>
    <t>0.249061</t>
  </si>
  <si>
    <t>324.91</t>
  </si>
  <si>
    <t>14.59</t>
  </si>
  <si>
    <t>0.00078789</t>
  </si>
  <si>
    <t>74.4118</t>
  </si>
  <si>
    <t>6.39</t>
  </si>
  <si>
    <t>0.00247515</t>
  </si>
  <si>
    <t>25.7342</t>
  </si>
  <si>
    <t>-53.43</t>
  </si>
  <si>
    <t>0.0218421</t>
  </si>
  <si>
    <t>89.1247</t>
  </si>
  <si>
    <t>-72.82</t>
  </si>
  <si>
    <t>-81.7</t>
  </si>
  <si>
    <t>2.90097</t>
  </si>
  <si>
    <t>0.00143256</t>
  </si>
  <si>
    <t>1.03288</t>
  </si>
  <si>
    <t>0.0108665</t>
  </si>
  <si>
    <t>405.364</t>
  </si>
  <si>
    <t>35.24</t>
  </si>
  <si>
    <t>0.0000041556</t>
  </si>
  <si>
    <t>29.6808</t>
  </si>
  <si>
    <t>40.8</t>
  </si>
  <si>
    <t>-72.8</t>
  </si>
  <si>
    <t>-85.97</t>
  </si>
  <si>
    <t>0.00100732</t>
  </si>
  <si>
    <t>92.3938</t>
  </si>
  <si>
    <t>0.00022846</t>
  </si>
  <si>
    <t>1016360.0</t>
  </si>
  <si>
    <t>0.0018962</t>
  </si>
  <si>
    <t>465053266.0</t>
  </si>
  <si>
    <t>2.2514</t>
  </si>
  <si>
    <t>0.00051435</t>
  </si>
  <si>
    <t>471716.0</t>
  </si>
  <si>
    <t>1.55329</t>
  </si>
  <si>
    <t>0.00035486</t>
  </si>
  <si>
    <t>364148.0</t>
  </si>
  <si>
    <t>0.147729</t>
  </si>
  <si>
    <t>281428.0</t>
  </si>
  <si>
    <t>0.0604049</t>
  </si>
  <si>
    <t>175227.0</t>
  </si>
  <si>
    <t>0.00608426</t>
  </si>
  <si>
    <t>113676.0</t>
  </si>
  <si>
    <t>0.680908</t>
  </si>
  <si>
    <t>86221.6</t>
  </si>
  <si>
    <t>0.292275</t>
  </si>
  <si>
    <t>78843.1</t>
  </si>
  <si>
    <t>0.0126062</t>
  </si>
  <si>
    <t>0.00000288</t>
  </si>
  <si>
    <t>76616.7</t>
  </si>
  <si>
    <t>-47.39</t>
  </si>
  <si>
    <t>4246.73</t>
  </si>
  <si>
    <t>0.533007</t>
  </si>
  <si>
    <t>0.00012177</t>
  </si>
  <si>
    <t>75302.8</t>
  </si>
  <si>
    <t>0.0841085</t>
  </si>
  <si>
    <t>74718.4</t>
  </si>
  <si>
    <t>-22.45</t>
  </si>
  <si>
    <t>0.0345796</t>
  </si>
  <si>
    <t>72459.7</t>
  </si>
  <si>
    <t>0.0677671</t>
  </si>
  <si>
    <t>0.00001548</t>
  </si>
  <si>
    <t>70027.5</t>
  </si>
  <si>
    <t>57767.5</t>
  </si>
  <si>
    <t>25.0</t>
  </si>
  <si>
    <t>0.0525089</t>
  </si>
  <si>
    <t>57664.1</t>
  </si>
  <si>
    <t>86.14</t>
  </si>
  <si>
    <t>168.42</t>
  </si>
  <si>
    <t>0.0182679</t>
  </si>
  <si>
    <t>53401.1</t>
  </si>
  <si>
    <t>328556189.0</t>
  </si>
  <si>
    <t>0.000350136</t>
  </si>
  <si>
    <t>51363.5</t>
  </si>
  <si>
    <t>0.033821</t>
  </si>
  <si>
    <t>47108.0</t>
  </si>
  <si>
    <t>43535225.0</t>
  </si>
  <si>
    <t>36495.3</t>
  </si>
  <si>
    <t>33.51</t>
  </si>
  <si>
    <t>100.82</t>
  </si>
  <si>
    <t>0.00424585</t>
  </si>
  <si>
    <t>35371.9</t>
  </si>
  <si>
    <t>0.511472</t>
  </si>
  <si>
    <t>34812.2</t>
  </si>
  <si>
    <t>0.388134</t>
  </si>
  <si>
    <t>32693.8</t>
  </si>
  <si>
    <t>0.0278983</t>
  </si>
  <si>
    <t>32241.4</t>
  </si>
  <si>
    <t>0.00275588</t>
  </si>
  <si>
    <t>31519.3</t>
  </si>
  <si>
    <t>0.0180137</t>
  </si>
  <si>
    <t>28133.7</t>
  </si>
  <si>
    <t>-20.48</t>
  </si>
  <si>
    <t>0.000132074</t>
  </si>
  <si>
    <t>27969.4</t>
  </si>
  <si>
    <t>-33.86</t>
  </si>
  <si>
    <t>-29.58</t>
  </si>
  <si>
    <t>-42.52</t>
  </si>
  <si>
    <t>0.0196163</t>
  </si>
  <si>
    <t>26556.3</t>
  </si>
  <si>
    <t>84598400.0</t>
  </si>
  <si>
    <t>110.21</t>
  </si>
  <si>
    <t>0.212182</t>
  </si>
  <si>
    <t>0.00004847</t>
  </si>
  <si>
    <t>25919.7</t>
  </si>
  <si>
    <t>0.0187404</t>
  </si>
  <si>
    <t>25917.4</t>
  </si>
  <si>
    <t>0.000550464</t>
  </si>
  <si>
    <t>25648.8</t>
  </si>
  <si>
    <t>2295625020.0</t>
  </si>
  <si>
    <t>0.117499</t>
  </si>
  <si>
    <t>21958.1</t>
  </si>
  <si>
    <t>0.0417604</t>
  </si>
  <si>
    <t>21347.9</t>
  </si>
  <si>
    <t>-6.67</t>
  </si>
  <si>
    <t>4.95351</t>
  </si>
  <si>
    <t>20045.2</t>
  </si>
  <si>
    <t>11.22</t>
  </si>
  <si>
    <t>3.70952</t>
  </si>
  <si>
    <t>19743.7</t>
  </si>
  <si>
    <t>0.288893</t>
  </si>
  <si>
    <t>16092.6</t>
  </si>
  <si>
    <t>10.16</t>
  </si>
  <si>
    <t>0.294482</t>
  </si>
  <si>
    <t>0.00006728</t>
  </si>
  <si>
    <t>15832.0</t>
  </si>
  <si>
    <t>1.61955</t>
  </si>
  <si>
    <t>15009.3</t>
  </si>
  <si>
    <t>0.049597</t>
  </si>
  <si>
    <t>0.00001133</t>
  </si>
  <si>
    <t>13774.5</t>
  </si>
  <si>
    <t>0.437498</t>
  </si>
  <si>
    <t>9638.52</t>
  </si>
  <si>
    <t>124.75</t>
  </si>
  <si>
    <t>111.42</t>
  </si>
  <si>
    <t>0.0101536</t>
  </si>
  <si>
    <t>8810.13</t>
  </si>
  <si>
    <t>-23.16</t>
  </si>
  <si>
    <t>41.82</t>
  </si>
  <si>
    <t>9.29943</t>
  </si>
  <si>
    <t>0.00212453</t>
  </si>
  <si>
    <t>8747.04</t>
  </si>
  <si>
    <t>8563.9</t>
  </si>
  <si>
    <t>40.15</t>
  </si>
  <si>
    <t>178.07</t>
  </si>
  <si>
    <t>0.0205727</t>
  </si>
  <si>
    <t>6647.6</t>
  </si>
  <si>
    <t>0.131315</t>
  </si>
  <si>
    <t>6084.92</t>
  </si>
  <si>
    <t>0.549115</t>
  </si>
  <si>
    <t>5805.09</t>
  </si>
  <si>
    <t>-36.88</t>
  </si>
  <si>
    <t>0.193794</t>
  </si>
  <si>
    <t>0.00004427</t>
  </si>
  <si>
    <t>5261.29</t>
  </si>
  <si>
    <t>7.44562</t>
  </si>
  <si>
    <t>0.00170102</t>
  </si>
  <si>
    <t>4901.1</t>
  </si>
  <si>
    <t>5.35</t>
  </si>
  <si>
    <t>4577.51</t>
  </si>
  <si>
    <t>11.73</t>
  </si>
  <si>
    <t>0.00520883</t>
  </si>
  <si>
    <t>4492.71</t>
  </si>
  <si>
    <t>-10.79</t>
  </si>
  <si>
    <t>1.02336</t>
  </si>
  <si>
    <t>4052.81</t>
  </si>
  <si>
    <t>5105391.0</t>
  </si>
  <si>
    <t>0.531397</t>
  </si>
  <si>
    <t>3966.08</t>
  </si>
  <si>
    <t>0.012677</t>
  </si>
  <si>
    <t>3204.8</t>
  </si>
  <si>
    <t>0.0515567</t>
  </si>
  <si>
    <t>2792.06</t>
  </si>
  <si>
    <t>9065133.0</t>
  </si>
  <si>
    <t>25.11</t>
  </si>
  <si>
    <t>72.1</t>
  </si>
  <si>
    <t>2751.92</t>
  </si>
  <si>
    <t>0.203538</t>
  </si>
  <si>
    <t>2365.93</t>
  </si>
  <si>
    <t>0.000831661</t>
  </si>
  <si>
    <t>2257.71</t>
  </si>
  <si>
    <t>750205347.0</t>
  </si>
  <si>
    <t>19.12</t>
  </si>
  <si>
    <t>85.42</t>
  </si>
  <si>
    <t>3.10018</t>
  </si>
  <si>
    <t>0.00070826</t>
  </si>
  <si>
    <t>2078.11</t>
  </si>
  <si>
    <t>1737.2</t>
  </si>
  <si>
    <t>0.041408</t>
  </si>
  <si>
    <t>1689.59</t>
  </si>
  <si>
    <t>0.00735494</t>
  </si>
  <si>
    <t>1657.85</t>
  </si>
  <si>
    <t>-33.97</t>
  </si>
  <si>
    <t>1540.76</t>
  </si>
  <si>
    <t>32045503.0</t>
  </si>
  <si>
    <t>26.04</t>
  </si>
  <si>
    <t>-53.75</t>
  </si>
  <si>
    <t>1474.4</t>
  </si>
  <si>
    <t>0.132682</t>
  </si>
  <si>
    <t>0.00003031</t>
  </si>
  <si>
    <t>1459.25</t>
  </si>
  <si>
    <t>0.000393945</t>
  </si>
  <si>
    <t>1410.23</t>
  </si>
  <si>
    <t>15.35</t>
  </si>
  <si>
    <t>1405.62</t>
  </si>
  <si>
    <t>0.000258217</t>
  </si>
  <si>
    <t>1256.4</t>
  </si>
  <si>
    <t>0.0231533</t>
  </si>
  <si>
    <t>1208.32</t>
  </si>
  <si>
    <t>569240.0</t>
  </si>
  <si>
    <t>1116.05</t>
  </si>
  <si>
    <t>0.501119</t>
  </si>
  <si>
    <t>1099.04</t>
  </si>
  <si>
    <t>45.36</t>
  </si>
  <si>
    <t>0.0000875497</t>
  </si>
  <si>
    <t>934.772</t>
  </si>
  <si>
    <t>0.0187229</t>
  </si>
  <si>
    <t>845.318</t>
  </si>
  <si>
    <t>-12.57</t>
  </si>
  <si>
    <t>-55.67</t>
  </si>
  <si>
    <t>0.0036733</t>
  </si>
  <si>
    <t>765.104</t>
  </si>
  <si>
    <t>80610781.0</t>
  </si>
  <si>
    <t>0.0918905</t>
  </si>
  <si>
    <t>0.0290084</t>
  </si>
  <si>
    <t>762.179</t>
  </si>
  <si>
    <t>98.2</t>
  </si>
  <si>
    <t>690.955</t>
  </si>
  <si>
    <t>-49.76</t>
  </si>
  <si>
    <t>0.000902152</t>
  </si>
  <si>
    <t>689.104</t>
  </si>
  <si>
    <t>283380132.0</t>
  </si>
  <si>
    <t>-27.64</t>
  </si>
  <si>
    <t>0.0257815</t>
  </si>
  <si>
    <t>652.265</t>
  </si>
  <si>
    <t>-47.14</t>
  </si>
  <si>
    <t>0.00135692</t>
  </si>
  <si>
    <t>638.604</t>
  </si>
  <si>
    <t>17.04</t>
  </si>
  <si>
    <t>0.000143624</t>
  </si>
  <si>
    <t>597.153</t>
  </si>
  <si>
    <t>548.404</t>
  </si>
  <si>
    <t>0.0000190207</t>
  </si>
  <si>
    <t>521.101</t>
  </si>
  <si>
    <t>35.81</t>
  </si>
  <si>
    <t>39.87</t>
  </si>
  <si>
    <t>0.0465583</t>
  </si>
  <si>
    <t>487.605</t>
  </si>
  <si>
    <t>472.734</t>
  </si>
  <si>
    <t>0.233303</t>
  </si>
  <si>
    <t>396.438</t>
  </si>
  <si>
    <t>-22.67</t>
  </si>
  <si>
    <t>4.5747</t>
  </si>
  <si>
    <t>0.00104513</t>
  </si>
  <si>
    <t>354.837</t>
  </si>
  <si>
    <t>14.3824</t>
  </si>
  <si>
    <t>319.727</t>
  </si>
  <si>
    <t>924678.0</t>
  </si>
  <si>
    <t>79.17</t>
  </si>
  <si>
    <t>0.00105052</t>
  </si>
  <si>
    <t>305.321</t>
  </si>
  <si>
    <t>15.7</t>
  </si>
  <si>
    <t>0.000961022</t>
  </si>
  <si>
    <t>304.177</t>
  </si>
  <si>
    <t>298.545</t>
  </si>
  <si>
    <t>0.0014186</t>
  </si>
  <si>
    <t>292.663</t>
  </si>
  <si>
    <t>-19.12</t>
  </si>
  <si>
    <t>0.00450053</t>
  </si>
  <si>
    <t>285.199</t>
  </si>
  <si>
    <t>31.38</t>
  </si>
  <si>
    <t>280.359</t>
  </si>
  <si>
    <t>50.73</t>
  </si>
  <si>
    <t>0.0000021280</t>
  </si>
  <si>
    <t>258.962</t>
  </si>
  <si>
    <t>19.65</t>
  </si>
  <si>
    <t>10.9432</t>
  </si>
  <si>
    <t>257.034</t>
  </si>
  <si>
    <t>0.0625935</t>
  </si>
  <si>
    <t>255.257</t>
  </si>
  <si>
    <t>-37.12</t>
  </si>
  <si>
    <t>0.00122558</t>
  </si>
  <si>
    <t>248.277</t>
  </si>
  <si>
    <t>-44.82</t>
  </si>
  <si>
    <t>0.0000029314</t>
  </si>
  <si>
    <t>239.532</t>
  </si>
  <si>
    <t>2.02711</t>
  </si>
  <si>
    <t>236.539</t>
  </si>
  <si>
    <t>-41.36</t>
  </si>
  <si>
    <t>0.00532519</t>
  </si>
  <si>
    <t>233.807</t>
  </si>
  <si>
    <t>0.00275758</t>
  </si>
  <si>
    <t>207.033</t>
  </si>
  <si>
    <t>0.0788765</t>
  </si>
  <si>
    <t>173.174</t>
  </si>
  <si>
    <t>0.00393945</t>
  </si>
  <si>
    <t>171.09</t>
  </si>
  <si>
    <t>42.96</t>
  </si>
  <si>
    <t>169.718</t>
  </si>
  <si>
    <t>0.286267</t>
  </si>
  <si>
    <t>168.685</t>
  </si>
  <si>
    <t>13282029.0</t>
  </si>
  <si>
    <t>-25.72</t>
  </si>
  <si>
    <t>-42.88</t>
  </si>
  <si>
    <t>0.00421923</t>
  </si>
  <si>
    <t>166.412</t>
  </si>
  <si>
    <t>0.124793</t>
  </si>
  <si>
    <t>0.00002851</t>
  </si>
  <si>
    <t>164.362</t>
  </si>
  <si>
    <t>90.21</t>
  </si>
  <si>
    <t>0.000121759</t>
  </si>
  <si>
    <t>140.35</t>
  </si>
  <si>
    <t>0.00748495</t>
  </si>
  <si>
    <t>140.069</t>
  </si>
  <si>
    <t>0.00569031</t>
  </si>
  <si>
    <t>122.342</t>
  </si>
  <si>
    <t>34.67</t>
  </si>
  <si>
    <t>0.0025</t>
  </si>
  <si>
    <t>120.84</t>
  </si>
  <si>
    <t>-13.49</t>
  </si>
  <si>
    <t>0.00866679</t>
  </si>
  <si>
    <t>119.258</t>
  </si>
  <si>
    <t>0.000700346</t>
  </si>
  <si>
    <t>116.861</t>
  </si>
  <si>
    <t>0.262936</t>
  </si>
  <si>
    <t>109.391</t>
  </si>
  <si>
    <t>0.0000428541</t>
  </si>
  <si>
    <t>105.806</t>
  </si>
  <si>
    <t>0.101244</t>
  </si>
  <si>
    <t>104.382</t>
  </si>
  <si>
    <t>101929270.0</t>
  </si>
  <si>
    <t>0.00485865</t>
  </si>
  <si>
    <t>102.669</t>
  </si>
  <si>
    <t>39.54</t>
  </si>
  <si>
    <t>221.07</t>
  </si>
  <si>
    <t>0.602686</t>
  </si>
  <si>
    <t>0.00013769</t>
  </si>
  <si>
    <t>101.124</t>
  </si>
  <si>
    <t>0.00140069</t>
  </si>
  <si>
    <t>91.7593</t>
  </si>
  <si>
    <t>0.0000871147</t>
  </si>
  <si>
    <t>89.4098</t>
  </si>
  <si>
    <t>86.288</t>
  </si>
  <si>
    <t>0.0121247</t>
  </si>
  <si>
    <t>78.4718</t>
  </si>
  <si>
    <t>0.000137185</t>
  </si>
  <si>
    <t>71.8072</t>
  </si>
  <si>
    <t>-35.1</t>
  </si>
  <si>
    <t>-94.7</t>
  </si>
  <si>
    <t>0.0000011854</t>
  </si>
  <si>
    <t>65.7827</t>
  </si>
  <si>
    <t>-76.1</t>
  </si>
  <si>
    <t>-54.77</t>
  </si>
  <si>
    <t>0.0000062337</t>
  </si>
  <si>
    <t>62.0249</t>
  </si>
  <si>
    <t>27.29</t>
  </si>
  <si>
    <t>0.00113806</t>
  </si>
  <si>
    <t>61.213</t>
  </si>
  <si>
    <t>0.0000437874</t>
  </si>
  <si>
    <t>60.6285</t>
  </si>
  <si>
    <t>-68.15</t>
  </si>
  <si>
    <t>-58.64</t>
  </si>
  <si>
    <t>0.814897</t>
  </si>
  <si>
    <t>54.8167</t>
  </si>
  <si>
    <t>0.000961269</t>
  </si>
  <si>
    <t>53.7785</t>
  </si>
  <si>
    <t>0.00861747</t>
  </si>
  <si>
    <t>52.3868</t>
  </si>
  <si>
    <t>0.000752814</t>
  </si>
  <si>
    <t>52.3284</t>
  </si>
  <si>
    <t>-19.26</t>
  </si>
  <si>
    <t>0.00191778</t>
  </si>
  <si>
    <t>42.7144</t>
  </si>
  <si>
    <t>1052496652.0</t>
  </si>
  <si>
    <t>41.9278</t>
  </si>
  <si>
    <t>-30.48</t>
  </si>
  <si>
    <t>41.3751</t>
  </si>
  <si>
    <t>0.000618205</t>
  </si>
  <si>
    <t>40.676</t>
  </si>
  <si>
    <t>38.8581</t>
  </si>
  <si>
    <t>0.309981</t>
  </si>
  <si>
    <t>0.00007082</t>
  </si>
  <si>
    <t>38.7476</t>
  </si>
  <si>
    <t>60.54</t>
  </si>
  <si>
    <t>-70.31</t>
  </si>
  <si>
    <t>0.00157578</t>
  </si>
  <si>
    <t>36.3705</t>
  </si>
  <si>
    <t>-40.46</t>
  </si>
  <si>
    <t>34.6147</t>
  </si>
  <si>
    <t>12.14</t>
  </si>
  <si>
    <t>58.45</t>
  </si>
  <si>
    <t>0.00271384</t>
  </si>
  <si>
    <t>34.3327</t>
  </si>
  <si>
    <t>0.00498997</t>
  </si>
  <si>
    <t>31.2125</t>
  </si>
  <si>
    <t>0.000853448</t>
  </si>
  <si>
    <t>30.8614</t>
  </si>
  <si>
    <t>40.21</t>
  </si>
  <si>
    <t>0.125712</t>
  </si>
  <si>
    <t>30.6402</t>
  </si>
  <si>
    <t>-22.18</t>
  </si>
  <si>
    <t>0.00477111</t>
  </si>
  <si>
    <t>29.9112</t>
  </si>
  <si>
    <t>0.000268418</t>
  </si>
  <si>
    <t>28.1224</t>
  </si>
  <si>
    <t>27.2393</t>
  </si>
  <si>
    <t>26.263</t>
  </si>
  <si>
    <t>0.000394069</t>
  </si>
  <si>
    <t>26.1991</t>
  </si>
  <si>
    <t>26.1869</t>
  </si>
  <si>
    <t>0.0328287</t>
  </si>
  <si>
    <t>24.9193</t>
  </si>
  <si>
    <t>11.929</t>
  </si>
  <si>
    <t>23.8575</t>
  </si>
  <si>
    <t>1.49572</t>
  </si>
  <si>
    <t>22.6275</t>
  </si>
  <si>
    <t>21.8266</t>
  </si>
  <si>
    <t>0.000259152</t>
  </si>
  <si>
    <t>21.492</t>
  </si>
  <si>
    <t>373.43</t>
  </si>
  <si>
    <t>0.0182528</t>
  </si>
  <si>
    <t>19.7119</t>
  </si>
  <si>
    <t>0.118299</t>
  </si>
  <si>
    <t>18.5866</t>
  </si>
  <si>
    <t>-6.16</t>
  </si>
  <si>
    <t>0.0248478</t>
  </si>
  <si>
    <t>18.3788</t>
  </si>
  <si>
    <t>5637056032.0</t>
  </si>
  <si>
    <t>74.91</t>
  </si>
  <si>
    <t>0.000656621</t>
  </si>
  <si>
    <t>17.5126</t>
  </si>
  <si>
    <t>0.609083</t>
  </si>
  <si>
    <t>15.8914</t>
  </si>
  <si>
    <t>0.00249498</t>
  </si>
  <si>
    <t>15.5936</t>
  </si>
  <si>
    <t>0.0232427</t>
  </si>
  <si>
    <t>15.5814</t>
  </si>
  <si>
    <t>0.0000409104</t>
  </si>
  <si>
    <t>14.1252</t>
  </si>
  <si>
    <t>208.69</t>
  </si>
  <si>
    <t>90.41</t>
  </si>
  <si>
    <t>0.00188218</t>
  </si>
  <si>
    <t>13.9433</t>
  </si>
  <si>
    <t>9.43524</t>
  </si>
  <si>
    <t>0.0232276</t>
  </si>
  <si>
    <t>7.00465</t>
  </si>
  <si>
    <t>-40.94</t>
  </si>
  <si>
    <t>-75.04</t>
  </si>
  <si>
    <t>6.68349</t>
  </si>
  <si>
    <t>0.0393977</t>
  </si>
  <si>
    <t>6.04944</t>
  </si>
  <si>
    <t>63.55</t>
  </si>
  <si>
    <t>5.88894</t>
  </si>
  <si>
    <t>-29.72</t>
  </si>
  <si>
    <t>5.2526</t>
  </si>
  <si>
    <t>4.81488</t>
  </si>
  <si>
    <t>0.00993616</t>
  </si>
  <si>
    <t>4.55042</t>
  </si>
  <si>
    <t>4.46453</t>
  </si>
  <si>
    <t>4.3667</t>
  </si>
  <si>
    <t>4.23801</t>
  </si>
  <si>
    <t>4.10292</t>
  </si>
  <si>
    <t>0.0117746</t>
  </si>
  <si>
    <t>4.09602</t>
  </si>
  <si>
    <t>3.82131</t>
  </si>
  <si>
    <t>3.71814</t>
  </si>
  <si>
    <t>3.63208</t>
  </si>
  <si>
    <t>0.00194446</t>
  </si>
  <si>
    <t>3.49007</t>
  </si>
  <si>
    <t>3.27306</t>
  </si>
  <si>
    <t>0.00862302</t>
  </si>
  <si>
    <t>3.19428</t>
  </si>
  <si>
    <t>51.78</t>
  </si>
  <si>
    <t>2.9865</t>
  </si>
  <si>
    <t>2.69887</t>
  </si>
  <si>
    <t>2.65081</t>
  </si>
  <si>
    <t>0.00836038</t>
  </si>
  <si>
    <t>2.42451</t>
  </si>
  <si>
    <t>1.8645</t>
  </si>
  <si>
    <t>0.012081</t>
  </si>
  <si>
    <t>1.74452</t>
  </si>
  <si>
    <t>0.437585</t>
  </si>
  <si>
    <t>1.70263</t>
  </si>
  <si>
    <t>13.87</t>
  </si>
  <si>
    <t>0.164581</t>
  </si>
  <si>
    <t>1.61986</t>
  </si>
  <si>
    <t>1.72656</t>
  </si>
  <si>
    <t>0.00039445</t>
  </si>
  <si>
    <t>1.5499</t>
  </si>
  <si>
    <t>9.39</t>
  </si>
  <si>
    <t>1.50498</t>
  </si>
  <si>
    <t>0.0122561</t>
  </si>
  <si>
    <t>1.22561</t>
  </si>
  <si>
    <t>1.08943</t>
  </si>
  <si>
    <t>0.937282</t>
  </si>
  <si>
    <t>-14.9</t>
  </si>
  <si>
    <t>0.872019</t>
  </si>
  <si>
    <t>77654044065.0</t>
  </si>
  <si>
    <t>0.807937</t>
  </si>
  <si>
    <t>0.10689</t>
  </si>
  <si>
    <t>0.739368</t>
  </si>
  <si>
    <t>-54.88</t>
  </si>
  <si>
    <t>0.00126708</t>
  </si>
  <si>
    <t>0.64608</t>
  </si>
  <si>
    <t>0.463979</t>
  </si>
  <si>
    <t>0.461353</t>
  </si>
  <si>
    <t>0.00118183</t>
  </si>
  <si>
    <t>0.443188</t>
  </si>
  <si>
    <t>35.65</t>
  </si>
  <si>
    <t>0.016677</t>
  </si>
  <si>
    <t>0.439818</t>
  </si>
  <si>
    <t>0.438154</t>
  </si>
  <si>
    <t>-47.92</t>
  </si>
  <si>
    <t>-22.26</t>
  </si>
  <si>
    <t>-47.73</t>
  </si>
  <si>
    <t>215.33</t>
  </si>
  <si>
    <t>-8.31</t>
  </si>
  <si>
    <t>152.22</t>
  </si>
  <si>
    <t>499001986629</t>
  </si>
  <si>
    <t>660203315.0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</si>
</sst>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0" fontId="3" fillId="5" borderId="5" xfId="0" applyFont="1" applyFill="1" applyBorder="1" applyAlignment="1">
      <alignment wrapText="1"/>
    </xf>
    <xf numFmtId="0" fontId="3" fillId="5" borderId="6" xfId="0" applyFont="1" applyFill="1" applyBorder="1" applyAlignment="1">
      <alignment wrapText="1"/>
    </xf>
    <xf numFmtId="0" fontId="3" fillId="5" borderId="7" xfId="0" applyFont="1" applyFill="1" applyBorder="1" applyAlignment="1">
      <alignment wrapText="1"/>
    </xf>
    <xf numFmtId="14" fontId="4" fillId="6" borderId="3" xfId="0" applyNumberFormat="1" applyFont="1" applyFill="1" applyBorder="1" applyAlignment="1">
      <alignment horizontal="right" wrapText="1"/>
    </xf>
    <xf numFmtId="0" fontId="4" fillId="0" borderId="2" xfId="0" applyFont="1" applyFill="1" applyBorder="1" applyAlignment="1">
      <alignment wrapText="1"/>
    </xf>
    <xf numFmtId="8" fontId="4" fillId="0" borderId="2" xfId="0" applyNumberFormat="1" applyFont="1" applyFill="1" applyBorder="1" applyAlignment="1">
      <alignment horizontal="right" wrapText="1"/>
    </xf>
    <xf numFmtId="8" fontId="4" fillId="0" borderId="4" xfId="0" applyNumberFormat="1" applyFont="1" applyFill="1" applyBorder="1" applyAlignment="1">
      <alignment horizontal="right" wrapText="1"/>
    </xf>
    <xf numFmtId="14" fontId="5" fillId="3" borderId="3" xfId="0" applyNumberFormat="1" applyFont="1" applyFill="1" applyBorder="1" applyAlignment="1">
      <alignment horizontal="right" wrapText="1"/>
    </xf>
    <xf numFmtId="0" fontId="4" fillId="0" borderId="9" xfId="0" applyFont="1" applyFill="1" applyBorder="1" applyAlignment="1">
      <alignment wrapText="1"/>
    </xf>
    <xf numFmtId="8" fontId="4" fillId="0" borderId="9" xfId="0" applyNumberFormat="1" applyFont="1" applyFill="1" applyBorder="1" applyAlignment="1">
      <alignment horizontal="right" wrapText="1"/>
    </xf>
    <xf numFmtId="0" fontId="4" fillId="7" borderId="8" xfId="0" applyFont="1" applyFill="1" applyBorder="1" applyAlignment="1">
      <alignment horizontal="right" wrapText="1"/>
    </xf>
    <xf numFmtId="0" fontId="4" fillId="7" borderId="9" xfId="0" applyFont="1" applyFill="1" applyBorder="1" applyAlignment="1">
      <alignment wrapText="1"/>
    </xf>
    <xf numFmtId="8" fontId="4" fillId="7" borderId="10" xfId="0" applyNumberFormat="1" applyFont="1" applyFill="1" applyBorder="1" applyAlignment="1">
      <alignment horizontal="right" wrapText="1"/>
    </xf>
    <xf numFmtId="8" fontId="4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6" fillId="5" borderId="2" xfId="0" applyFont="1" applyFill="1" applyBorder="1" applyAlignment="1"/>
    <xf numFmtId="10" fontId="0" fillId="0" borderId="0" xfId="1" applyNumberFormat="1" applyFont="1"/>
    <xf numFmtId="0" fontId="6" fillId="5" borderId="6" xfId="0" applyFont="1" applyFill="1" applyBorder="1" applyAlignment="1"/>
    <xf numFmtId="44" fontId="6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5" fillId="3" borderId="8" xfId="0" applyNumberFormat="1" applyFont="1" applyFill="1" applyBorder="1" applyAlignment="1">
      <alignment horizontal="right" wrapText="1"/>
    </xf>
    <xf numFmtId="8" fontId="4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7" fillId="0" borderId="0" xfId="0" applyFont="1"/>
    <xf numFmtId="8" fontId="7" fillId="0" borderId="0" xfId="0" applyNumberFormat="1" applyFont="1"/>
    <xf numFmtId="0" fontId="7" fillId="4" borderId="0" xfId="0" applyFont="1" applyFill="1"/>
    <xf numFmtId="8" fontId="8" fillId="0" borderId="0" xfId="0" applyNumberFormat="1" applyFont="1"/>
    <xf numFmtId="8" fontId="7" fillId="4" borderId="0" xfId="0" applyNumberFormat="1" applyFont="1" applyFill="1"/>
    <xf numFmtId="0" fontId="0" fillId="0" borderId="0" xfId="0" applyAlignment="1">
      <alignment horizontal="left"/>
    </xf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0" fontId="0" fillId="0" borderId="0" xfId="0" applyNumberFormat="1" applyFill="1"/>
    <xf numFmtId="0" fontId="0" fillId="0" borderId="0" xfId="0" applyFill="1"/>
    <xf numFmtId="0" fontId="14" fillId="2" borderId="1" xfId="0" applyNumberFormat="1" applyFont="1" applyFill="1" applyBorder="1"/>
    <xf numFmtId="0" fontId="15" fillId="0" borderId="0" xfId="0" applyFont="1"/>
    <xf numFmtId="0" fontId="14" fillId="2" borderId="0" xfId="0" applyNumberFormat="1" applyFont="1" applyFill="1" applyBorder="1"/>
    <xf numFmtId="0" fontId="16" fillId="0" borderId="5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0" xfId="0" applyFont="1"/>
    <xf numFmtId="0" fontId="16" fillId="4" borderId="3" xfId="0" applyFont="1" applyFill="1" applyBorder="1" applyAlignment="1">
      <alignment wrapText="1"/>
    </xf>
    <xf numFmtId="0" fontId="16" fillId="0" borderId="2" xfId="0" applyFont="1" applyBorder="1" applyAlignment="1">
      <alignment horizontal="right" wrapText="1"/>
    </xf>
    <xf numFmtId="164" fontId="16" fillId="0" borderId="2" xfId="1" applyNumberFormat="1" applyFont="1" applyBorder="1" applyAlignment="1">
      <alignment horizontal="right" wrapText="1"/>
    </xf>
    <xf numFmtId="44" fontId="16" fillId="0" borderId="0" xfId="2" applyFont="1" applyBorder="1"/>
    <xf numFmtId="0" fontId="20" fillId="0" borderId="2" xfId="0" applyFont="1" applyBorder="1" applyAlignment="1">
      <alignment horizontal="right" wrapText="1"/>
    </xf>
    <xf numFmtId="0" fontId="16" fillId="0" borderId="2" xfId="0" applyNumberFormat="1" applyFont="1" applyBorder="1" applyAlignment="1">
      <alignment horizontal="right" wrapText="1"/>
    </xf>
    <xf numFmtId="8" fontId="16" fillId="8" borderId="2" xfId="0" applyNumberFormat="1" applyFont="1" applyFill="1" applyBorder="1" applyAlignment="1">
      <alignment horizontal="right" wrapText="1"/>
    </xf>
    <xf numFmtId="8" fontId="16" fillId="0" borderId="0" xfId="0" applyNumberFormat="1" applyFont="1" applyFill="1" applyBorder="1" applyAlignment="1">
      <alignment horizontal="right" wrapText="1"/>
    </xf>
    <xf numFmtId="9" fontId="15" fillId="0" borderId="0" xfId="1" applyFont="1"/>
    <xf numFmtId="8" fontId="15" fillId="0" borderId="0" xfId="0" applyNumberFormat="1" applyFont="1"/>
    <xf numFmtId="44" fontId="16" fillId="0" borderId="0" xfId="2" applyFont="1" applyBorder="1" applyAlignment="1">
      <alignment horizontal="right" wrapText="1"/>
    </xf>
    <xf numFmtId="0" fontId="16" fillId="0" borderId="2" xfId="0" applyNumberFormat="1" applyFont="1" applyFill="1" applyBorder="1" applyAlignment="1">
      <alignment horizontal="right" wrapText="1"/>
    </xf>
    <xf numFmtId="0" fontId="16" fillId="0" borderId="3" xfId="0" applyFont="1" applyBorder="1" applyAlignment="1">
      <alignment wrapText="1"/>
    </xf>
    <xf numFmtId="8" fontId="16" fillId="0" borderId="0" xfId="0" applyNumberFormat="1" applyFont="1"/>
    <xf numFmtId="44" fontId="16" fillId="0" borderId="2" xfId="2" applyFont="1" applyBorder="1" applyAlignment="1">
      <alignment horizontal="right" wrapText="1"/>
    </xf>
    <xf numFmtId="0" fontId="15" fillId="0" borderId="2" xfId="0" applyFont="1" applyBorder="1"/>
    <xf numFmtId="44" fontId="16" fillId="0" borderId="2" xfId="2" applyFont="1" applyBorder="1"/>
    <xf numFmtId="8" fontId="16" fillId="0" borderId="0" xfId="0" applyNumberFormat="1" applyFont="1" applyBorder="1"/>
    <xf numFmtId="44" fontId="16" fillId="0" borderId="0" xfId="2" applyFont="1"/>
    <xf numFmtId="0" fontId="16" fillId="0" borderId="0" xfId="0" applyNumberFormat="1" applyFont="1" applyFill="1" applyBorder="1" applyAlignment="1">
      <alignment horizontal="right" wrapText="1"/>
    </xf>
    <xf numFmtId="0" fontId="16" fillId="0" borderId="3" xfId="0" applyFont="1" applyFill="1" applyBorder="1" applyAlignment="1">
      <alignment wrapText="1"/>
    </xf>
    <xf numFmtId="0" fontId="15" fillId="0" borderId="0" xfId="0" applyFont="1" applyBorder="1"/>
    <xf numFmtId="0" fontId="16" fillId="0" borderId="8" xfId="0" applyFont="1" applyBorder="1" applyAlignment="1">
      <alignment wrapText="1"/>
    </xf>
    <xf numFmtId="0" fontId="16" fillId="0" borderId="9" xfId="0" applyFont="1" applyBorder="1" applyAlignment="1">
      <alignment horizontal="right" wrapText="1"/>
    </xf>
    <xf numFmtId="0" fontId="16" fillId="0" borderId="9" xfId="0" applyNumberFormat="1" applyFont="1" applyBorder="1" applyAlignment="1">
      <alignment horizontal="right" wrapText="1"/>
    </xf>
    <xf numFmtId="44" fontId="15" fillId="0" borderId="0" xfId="2" applyFont="1"/>
    <xf numFmtId="44" fontId="16" fillId="0" borderId="9" xfId="2" applyFont="1" applyBorder="1" applyAlignment="1">
      <alignment horizontal="right" wrapText="1"/>
    </xf>
    <xf numFmtId="165" fontId="16" fillId="0" borderId="0" xfId="2" applyNumberFormat="1" applyFont="1" applyBorder="1"/>
    <xf numFmtId="165" fontId="16" fillId="0" borderId="0" xfId="2" applyNumberFormat="1" applyFont="1" applyBorder="1" applyAlignment="1">
      <alignment horizontal="right" wrapText="1"/>
    </xf>
    <xf numFmtId="165" fontId="16" fillId="0" borderId="0" xfId="0" applyNumberFormat="1" applyFont="1"/>
    <xf numFmtId="165" fontId="16" fillId="0" borderId="2" xfId="2" applyNumberFormat="1" applyFont="1" applyBorder="1" applyAlignment="1">
      <alignment horizontal="right" wrapText="1"/>
    </xf>
    <xf numFmtId="165" fontId="16" fillId="0" borderId="2" xfId="2" applyNumberFormat="1" applyFont="1" applyBorder="1"/>
    <xf numFmtId="165" fontId="16" fillId="0" borderId="0" xfId="0" applyNumberFormat="1" applyFont="1" applyBorder="1"/>
    <xf numFmtId="165" fontId="16" fillId="0" borderId="0" xfId="2" applyNumberFormat="1" applyFont="1"/>
    <xf numFmtId="164" fontId="16" fillId="0" borderId="9" xfId="1" applyNumberFormat="1" applyFont="1" applyBorder="1" applyAlignment="1">
      <alignment horizontal="right" wrapText="1"/>
    </xf>
    <xf numFmtId="165" fontId="16" fillId="0" borderId="9" xfId="2" applyNumberFormat="1" applyFont="1" applyBorder="1" applyAlignment="1">
      <alignment horizontal="right" wrapText="1"/>
    </xf>
    <xf numFmtId="8" fontId="16" fillId="8" borderId="9" xfId="0" applyNumberFormat="1" applyFont="1" applyFill="1" applyBorder="1" applyAlignment="1">
      <alignment horizontal="right" wrapText="1"/>
    </xf>
    <xf numFmtId="0" fontId="2" fillId="4" borderId="12" xfId="0" applyFont="1" applyFill="1" applyBorder="1" applyAlignment="1">
      <alignment wrapText="1"/>
    </xf>
    <xf numFmtId="0" fontId="2" fillId="4" borderId="13" xfId="0" applyFont="1" applyFill="1" applyBorder="1" applyAlignment="1">
      <alignment horizontal="right" wrapText="1"/>
    </xf>
    <xf numFmtId="164" fontId="2" fillId="4" borderId="13" xfId="0" applyNumberFormat="1" applyFont="1" applyFill="1" applyBorder="1" applyAlignment="1">
      <alignment horizontal="right" wrapText="1"/>
    </xf>
    <xf numFmtId="44" fontId="2" fillId="4" borderId="13" xfId="0" applyNumberFormat="1" applyFont="1" applyFill="1" applyBorder="1" applyAlignment="1">
      <alignment horizontal="right" wrapText="1"/>
    </xf>
    <xf numFmtId="0" fontId="2" fillId="4" borderId="13" xfId="0" applyNumberFormat="1" applyFont="1" applyFill="1" applyBorder="1" applyAlignment="1">
      <alignment horizontal="right" wrapText="1"/>
    </xf>
    <xf numFmtId="8" fontId="16" fillId="4" borderId="13" xfId="0" applyNumberFormat="1" applyFont="1" applyFill="1" applyBorder="1" applyAlignment="1">
      <alignment horizontal="right" wrapText="1"/>
    </xf>
    <xf numFmtId="8" fontId="16" fillId="4" borderId="11" xfId="0" applyNumberFormat="1" applyFont="1" applyFill="1" applyBorder="1" applyAlignment="1">
      <alignment horizontal="right" wrapText="1"/>
    </xf>
    <xf numFmtId="9" fontId="15" fillId="4" borderId="11" xfId="1" applyFont="1" applyFill="1" applyBorder="1"/>
    <xf numFmtId="9" fontId="11" fillId="4" borderId="0" xfId="1" applyFont="1" applyFill="1"/>
    <xf numFmtId="0" fontId="0" fillId="0" borderId="0" xfId="0" applyFont="1"/>
    <xf numFmtId="8" fontId="16" fillId="0" borderId="2" xfId="0" applyNumberFormat="1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pivotButton="1"/>
  </cellXfs>
  <cellStyles count="3">
    <cellStyle name="Currency" xfId="2" builtinId="4"/>
    <cellStyle name="Normal" xfId="0" builtinId="0"/>
    <cellStyle name="Percent" xfId="1" builtinId="5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95250</xdr:rowOff>
        </xdr:from>
        <xdr:to>
          <xdr:col>12</xdr:col>
          <xdr:colOff>438150</xdr:colOff>
          <xdr:row>32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32</xdr:row>
          <xdr:rowOff>161925</xdr:rowOff>
        </xdr:from>
        <xdr:to>
          <xdr:col>12</xdr:col>
          <xdr:colOff>438150</xdr:colOff>
          <xdr:row>35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ssan Latif" refreshedDate="43015.05128576389" createdVersion="6" refreshedVersion="6" minRefreshableVersion="3" recordCount="1146">
  <cacheSource type="worksheet">
    <worksheetSource name="Ticker2"/>
  </cacheSource>
  <cacheFields count="14">
    <cacheField name="Coin.id" numFmtId="0">
      <sharedItems count="1146">
        <s v="bitcoin"/>
        <s v="ethereum"/>
        <s v="ripple"/>
        <s v="bitcoin-cash"/>
        <s v="litecoin"/>
        <s v="dash"/>
        <s v="nem"/>
        <s v="neo"/>
        <s v="iota"/>
        <s v="monero"/>
        <s v="ethereum-classic"/>
        <s v="bitconnect"/>
        <s v="omisego"/>
        <s v="qtum"/>
        <s v="lisk"/>
        <s v="zcash"/>
        <s v="waves"/>
        <s v="cardano"/>
        <s v="tether"/>
        <s v="stratis"/>
        <s v="stellar"/>
        <s v="steem"/>
        <s v="ark"/>
        <s v="kyber-network"/>
        <s v="hshare"/>
        <s v="bytecoin-bcn"/>
        <s v="gas"/>
        <s v="eos"/>
        <s v="augur"/>
        <s v="basic-attention-token"/>
        <s v="tenx"/>
        <s v="maidsafecoin"/>
        <s v="pivx"/>
        <s v="salt"/>
        <s v="walton"/>
        <s v="ardor"/>
        <s v="komodo"/>
        <s v="golem-network-tokens"/>
        <s v="iconomi"/>
        <s v="tron"/>
        <s v="decred"/>
        <s v="chainlink"/>
        <s v="factom"/>
        <s v="gamecredits"/>
        <s v="bitshares"/>
        <s v="binance-coin"/>
        <s v="digixdao"/>
        <s v="metal"/>
        <s v="siacoin"/>
        <s v="gnosis-gno"/>
        <s v="veritaseum"/>
        <s v="digibyte"/>
        <s v="blocknet"/>
        <s v="firstcoin"/>
        <s v="dogecoin"/>
        <s v="civic"/>
        <s v="bitcoindark"/>
        <s v="populous"/>
        <s v="byteball"/>
        <s v="funfair"/>
        <s v="mcap"/>
        <s v="singulardtv"/>
        <s v="status"/>
        <s v="0x"/>
        <s v="aeternity"/>
        <s v="bancor"/>
        <s v="lykke"/>
        <s v="verge"/>
        <s v="pura"/>
        <s v="bytom"/>
        <s v="gxshares"/>
        <s v="vechain"/>
        <s v="syscoin"/>
        <s v="nexus"/>
        <s v="kin"/>
        <s v="centra"/>
        <s v="monaco"/>
        <s v="kickico"/>
        <s v="adx-net"/>
        <s v="aidos-kuneen"/>
        <s v="nxt"/>
        <s v="loopring"/>
        <s v="ubiq"/>
        <s v="bitdeal"/>
        <s v="aragon"/>
        <s v="sonm"/>
        <s v="mobilego"/>
        <s v="vertcoin"/>
        <s v="edgeless"/>
        <s v="iocoin"/>
        <s v="moeda-loyalty-points"/>
        <s v="wings"/>
        <s v="particl"/>
        <s v="bitquence"/>
        <s v="nav-coin"/>
        <s v="rlc"/>
        <s v="melon"/>
        <s v="cofound-it"/>
        <s v="gulden"/>
        <s v="storj"/>
        <s v="dentacoin"/>
        <s v="rise"/>
        <s v="elastic"/>
        <s v="aeon"/>
        <s v="regalcoin"/>
        <s v="atbcoin"/>
        <s v="zcoin"/>
        <s v="tokencard"/>
        <s v="taas"/>
        <s v="cloakcoin"/>
        <s v="substratum"/>
        <s v="viberate"/>
        <s v="faircoin"/>
        <s v="nolimitcoin"/>
        <s v="decentraland"/>
        <s v="tierion"/>
        <s v="monacoin"/>
        <s v="bitbay"/>
        <s v="firstblood"/>
        <s v="monetha"/>
        <s v="decent"/>
        <s v="peercoin"/>
        <s v="target-coin"/>
        <s v="stox"/>
        <s v="neblio"/>
        <s v="district0x"/>
        <s v="trust"/>
        <s v="metaverse"/>
        <s v="reddcoin"/>
        <s v="rialto"/>
        <s v="quantum-resistant-ledger"/>
        <s v="viacoin"/>
        <s v="unobtanium"/>
        <s v="coindash"/>
        <s v="credo"/>
        <s v="counterparty"/>
        <s v="spreadcoin"/>
        <s v="emercoin"/>
        <s v="clams"/>
        <s v="asch"/>
        <s v="blackmoon-crypto"/>
        <s v="patientory"/>
        <s v="diamond"/>
        <s v="etheroll"/>
        <s v="ion"/>
        <s v="triggers"/>
        <s v="crown"/>
        <s v="safe-exchange-coin"/>
        <s v="xaurum"/>
        <s v="poet"/>
        <s v="sibcoin"/>
        <s v="the-champcoin"/>
        <s v="rivetz"/>
        <s v="adtoken"/>
        <s v="skycoin"/>
        <s v="humaniq"/>
        <s v="einsteinium"/>
        <s v="nexium"/>
        <s v="agrello-delta"/>
        <s v="leocoin"/>
        <s v="mothership"/>
        <s v="monetaryunit"/>
        <s v="numeraire"/>
        <s v="namecoin"/>
        <s v="aventus"/>
        <s v="santiment"/>
        <s v="compcoin"/>
        <s v="rubycoin"/>
        <s v="vslice"/>
        <s v="polybius"/>
        <s v="mysterium"/>
        <s v="xplay"/>
        <s v="obsidian"/>
        <s v="voisecom"/>
        <s v="lunyr"/>
        <s v="e-coin"/>
        <s v="okcash"/>
        <s v="zencash"/>
        <s v="oax"/>
        <s v="salus"/>
        <s v="expanse"/>
        <s v="burst"/>
        <s v="radium"/>
        <s v="guppy"/>
        <s v="digitalnote"/>
        <s v="library-credit"/>
        <s v="shift"/>
        <s v="investfeed"/>
        <s v="blackcoin"/>
        <s v="quantum"/>
        <s v="korecoin"/>
        <s v="potcoin"/>
        <s v="pillar"/>
        <s v="chronobank"/>
        <s v="agoras-tokens"/>
        <s v="swarm-city"/>
        <s v="smartcash"/>
        <s v="energycoin"/>
        <s v="synereo"/>
        <s v="dao-casino"/>
        <s v="lampix"/>
        <s v="golos"/>
        <s v="omni"/>
        <s v="bitdice"/>
        <s v="gridcoin"/>
        <s v="soarcoin"/>
        <s v="primas"/>
        <s v="gambit"/>
        <s v="waves-community-token"/>
        <s v="prospectors-gold"/>
        <s v="nimiq"/>
        <s v="databits"/>
        <s v="peerplays-ppy"/>
        <s v="mooncoin"/>
        <s v="lomocoin"/>
        <s v="bcap"/>
        <s v="wagerr"/>
        <s v="raiblocks"/>
        <s v="vibe"/>
        <s v="florincoin"/>
        <s v="xcurrency"/>
        <s v="toacoin"/>
        <s v="obits"/>
        <s v="pluton"/>
        <s v="spectrecoin"/>
        <s v="atc-coin"/>
        <s v="vericoin"/>
        <s v="ixledger"/>
        <s v="voxels"/>
        <s v="e-dinar-coin"/>
        <s v="neoscoin"/>
        <s v="musicoin"/>
        <s v="pinkcoin"/>
        <s v="pepe-cash"/>
        <s v="ecobit"/>
        <s v="ebtc"/>
        <s v="xtrabytes"/>
        <s v="nvo"/>
        <s v="sphere"/>
        <s v="groestlcoin"/>
        <s v="solarcoin"/>
        <s v="prizm"/>
        <s v="incent"/>
        <s v="internet-of-people"/>
        <s v="bitcny"/>
        <s v="blockcat"/>
        <s v="bitsend"/>
        <s v="sprouts"/>
        <s v="hive"/>
        <s v="novacoin"/>
        <s v="feathercoin"/>
        <s v="blocktix"/>
        <s v="ethereum-dark"/>
        <s v="propy"/>
        <s v="posw-coin"/>
        <s v="thegcccoin"/>
        <s v="whitecoin"/>
        <s v="dubaicoin-dbix"/>
        <s v="bitbean"/>
        <s v="neutron"/>
        <s v="heat-ledger"/>
        <s v="bitcore"/>
        <s v="dent"/>
        <s v="dnotes"/>
        <s v="creditbit"/>
        <s v="bitland"/>
        <s v="bitcrystals"/>
        <s v="project-decorum"/>
        <s v="applebyte"/>
        <s v="auroracoin"/>
        <s v="foldingcoin"/>
        <s v="tao"/>
        <s v="qwark"/>
        <s v="encryptotel"/>
        <s v="unity-ingot"/>
        <s v="eccoin"/>
        <s v="equitrader"/>
        <s v="htmlcoin"/>
        <s v="coss"/>
        <s v="curecoin"/>
        <s v="bitcoin-plus"/>
        <s v="mybit-token"/>
        <s v="vcash"/>
        <s v="cvcoin"/>
        <s v="global-currency-reserve"/>
        <s v="exclusivecoin"/>
        <s v="belacoin"/>
        <s v="embercoin"/>
        <s v="pesetacoin"/>
        <s v="terracoin"/>
        <s v="europecoin"/>
        <s v="stealthcoin"/>
        <s v="blitzcash"/>
        <s v="goldcoin"/>
        <s v="opus"/>
        <s v="apx"/>
        <s v="wild-beast-block"/>
        <s v="bismuth"/>
        <s v="circuits-of-value"/>
        <s v="sequence"/>
        <s v="primalbase"/>
        <s v="pascal-coin"/>
        <s v="condensate"/>
        <s v="hush"/>
        <s v="visio"/>
        <s v="bitswift"/>
        <s v="crave"/>
        <s v="synergy"/>
        <s v="social"/>
        <s v="trueflip"/>
        <s v="zrcoin"/>
        <s v="dynamic"/>
        <s v="centurion"/>
        <s v="hempcoin"/>
        <s v="oraclechain"/>
        <s v="zclassic"/>
        <s v="trustplus"/>
        <s v="chaincoin"/>
        <s v="steem-dollars"/>
        <s v="geocoin"/>
        <s v="nushares"/>
        <s v="myriad"/>
        <s v="starta"/>
        <s v="suncontract"/>
        <s v="syndicate"/>
        <s v="martexcoin"/>
        <s v="dopecoin"/>
        <s v="bitusd"/>
        <s v="deeponion"/>
        <s v="primecoin"/>
        <s v="bitmark"/>
        <s v="memetic"/>
        <s v="putincoin"/>
        <s v="ethbits"/>
        <s v="evergreencoin"/>
        <s v="breakout-stake"/>
        <s v="vpncoin"/>
        <s v="atmos"/>
        <s v="veriumreserve"/>
        <s v="signatum"/>
        <s v="real-estate-tokens"/>
        <s v="casinocoin"/>
        <s v="2give"/>
        <s v="zeitcoin"/>
        <s v="chips"/>
        <s v="breakout"/>
        <s v="transfercoin"/>
        <s v="b3coin"/>
        <s v="happycoin"/>
        <s v="oceanlab"/>
        <s v="bluecoin"/>
        <s v="adshares"/>
        <s v="embers"/>
        <s v="neverdie"/>
        <s v="cannabiscoin"/>
        <s v="nautiluscoin"/>
        <s v="creativecoin"/>
        <s v="remicoin"/>
        <s v="mintcoin"/>
        <s v="tokes"/>
        <s v="internxt"/>
        <s v="vtorrent"/>
        <s v="cryptoping"/>
        <s v="startcoin"/>
        <s v="legends-room"/>
        <s v="colossuscoin-v2"/>
        <s v="elixir"/>
        <s v="shorty"/>
        <s v="darcrus"/>
        <s v="espers"/>
        <s v="renos"/>
        <s v="magi"/>
        <s v="huntercoin"/>
        <s v="1337coin"/>
        <s v="adzcoin"/>
        <s v="rupee"/>
        <s v="mergecoin"/>
        <s v="adelphoi"/>
        <s v="janus"/>
        <s v="riecoin"/>
        <s v="e-gulden"/>
        <s v="linda"/>
        <s v="parkbyte"/>
        <s v="cryptocarbon"/>
        <s v="minereum"/>
        <s v="fundyourselfnow"/>
        <s v="dimecoin"/>
        <s v="monacocoin"/>
        <s v="skincoin"/>
        <s v="mercury"/>
        <s v="hyperstake"/>
        <s v="unify"/>
        <s v="blakestar"/>
        <s v="fastcoin"/>
        <s v="zennies"/>
        <s v="sexcoin"/>
        <s v="insanecoin-insn"/>
        <s v="eot-token"/>
        <s v="growers-international"/>
        <s v="808coin"/>
        <s v="bata"/>
        <s v="miners-reward-token"/>
        <s v="onix"/>
        <s v="vivo"/>
        <s v="link-platform"/>
        <s v="footy-cash"/>
        <s v="arcticcoin"/>
        <s v="trackr"/>
        <s v="smileycoin"/>
        <s v="giga-watt-token"/>
        <s v="zoin"/>
        <s v="netko"/>
        <s v="influxcoin"/>
        <s v="bytecent"/>
        <s v="swagbucks"/>
        <s v="dotcoin"/>
        <s v="zccoin"/>
        <s v="sumokoin"/>
        <s v="capricoin"/>
        <s v="fedoracoin"/>
        <s v="nubits"/>
        <s v="woodcoin"/>
        <s v="fucktoken"/>
        <s v="worldcoin"/>
        <s v="helleniccoin"/>
        <s v="starcredits"/>
        <s v="mao-zedong"/>
        <s v="fujinto"/>
        <s v="cream"/>
        <s v="hicoin"/>
        <s v="inflationcoin"/>
        <s v="dinastycoin"/>
        <s v="billionaire-token"/>
        <s v="tychocoin"/>
        <s v="digitalprice"/>
        <s v="wavesgo"/>
        <s v="britcoin"/>
        <s v="sovereign-hero"/>
        <s v="cryptonite"/>
        <s v="fantomcoin"/>
        <s v="litedoge"/>
        <s v="btsr"/>
        <s v="piecoin"/>
        <s v="kekcoin"/>
        <s v="megacoin"/>
        <s v="unitus"/>
        <s v="fujicoin"/>
        <s v="vsync-vsx"/>
        <s v="bitradio"/>
        <s v="unbreakablecoin"/>
        <s v="shadowcash"/>
        <s v="ultimate-secure-cash"/>
        <s v="smartcoin"/>
        <s v="denarius-dnr"/>
        <s v="linx"/>
        <s v="etheriya"/>
        <s v="scorecoin"/>
        <s v="karbowanec"/>
        <s v="jetcoin"/>
        <s v="noblecoin"/>
        <s v="pandacoin-pnd"/>
        <s v="idice"/>
        <s v="moin"/>
        <s v="digital-developers-fund"/>
        <s v="virtacoinplus"/>
        <s v="supercoin"/>
        <s v="mojocoin"/>
        <s v="zero"/>
        <s v="falcoin"/>
        <s v="fimkrypto"/>
        <s v="daxxcoin"/>
        <s v="c-bit"/>
        <s v="women"/>
        <s v="draftcoin"/>
        <s v="vsync"/>
        <s v="newbium"/>
        <s v="das"/>
        <s v="procurrency"/>
        <s v="coinonatx"/>
        <s v="dalecoin"/>
        <s v="blockpay"/>
        <s v="postcoin"/>
        <s v="dt-token"/>
        <s v="solaris"/>
        <s v="phoenixcoin"/>
        <s v="roulettetoken"/>
        <s v="trumpcoin"/>
        <s v="gcoin"/>
        <s v="deutsche-emark"/>
        <s v="futurexe"/>
        <s v="triangles"/>
        <s v="atomic-coin"/>
        <s v="42-coin"/>
        <s v="ohm-wallet"/>
        <s v="xp"/>
        <s v="eternity"/>
        <s v="anoncoin"/>
        <s v="rubies"/>
        <s v="wyvern"/>
        <s v="bitstar"/>
        <s v="bittokens"/>
        <s v="hempcoin-hmp"/>
        <s v="pakcoin"/>
        <s v="bitbtc"/>
        <s v="platinumbar"/>
        <s v="francs"/>
        <s v="cybcsec"/>
        <s v="interzone"/>
        <s v="cryptoworldx-token"/>
        <s v="rupaya"/>
        <s v="lanacoin"/>
        <s v="theresa-may-coin"/>
        <s v="virta-unique-coin"/>
        <s v="bitcoin-planet"/>
        <s v="universe"/>
        <s v="briacoin"/>
        <s v="zurcoin"/>
        <s v="flaxscript"/>
        <s v="elcoin-el"/>
        <s v="reecoin"/>
        <s v="ecocoin"/>
        <s v="honey"/>
        <s v="acoin"/>
        <s v="tattoocoin"/>
        <s v="cannation"/>
        <s v="neurodao"/>
        <s v="goldblocks"/>
        <s v="bitcoinfast"/>
        <s v="vault-coin"/>
        <s v="yocoin"/>
        <s v="biblepay"/>
        <s v="droxne"/>
        <s v="x-coin"/>
        <s v="biteur"/>
        <s v="octocoin"/>
        <s v="healthywormcoin"/>
        <s v="bipcoin"/>
        <s v="tilecoin"/>
        <s v="crypto"/>
        <s v="argentum"/>
        <s v="campuscoin"/>
        <s v="globaltoken"/>
        <s v="neuro"/>
        <s v="gpu-coin"/>
        <s v="asiadigicoin"/>
        <s v="master-swiscoin"/>
        <s v="litecoin-plus"/>
        <s v="chancoin"/>
        <s v="boostcoin"/>
        <s v="digital-rupees"/>
        <s v="benjirolls"/>
        <s v="nevacoin"/>
        <s v="antilitecoin"/>
        <s v="wallet-builders-coin"/>
        <s v="marijuanacoin"/>
        <s v="eryllium"/>
        <s v="chncoin"/>
        <s v="useless-ethereum-token"/>
        <s v="veros"/>
        <s v="iconic"/>
        <s v="coimatic-2"/>
        <s v="crevacoin"/>
        <s v="anarchistsprime"/>
        <s v="frazcoin"/>
        <s v="solarflarecoin"/>
        <s v="magnum"/>
        <s v="litecoin-ultra"/>
        <s v="letitride"/>
        <s v="project-x"/>
        <s v="litebitcoin"/>
        <s v="levoplus"/>
        <s v="ebittree-coin"/>
        <s v="harmonycoin-hmc"/>
        <s v="ulatech"/>
        <s v="digital-money-bits"/>
        <s v="applecoin-apw"/>
        <s v="supernet-unity"/>
        <s v="jinn"/>
        <s v="round"/>
        <s v="arcade-token"/>
        <s v="bitpark-coin"/>
        <s v="asiacoin"/>
        <s v="yashcoin"/>
        <s v="luckchain"/>
        <s v="quark"/>
        <s v="ico-openledger"/>
        <s v="inpay"/>
        <s v="cryptogenic-bullion"/>
        <s v="earthcoin"/>
        <s v="ixcoin"/>
        <s v="infinitecoin"/>
        <s v="audiocoin"/>
        <s v="altcoin-alt"/>
        <s v="cagecoin"/>
        <s v="incakoin"/>
        <s v="cryptcoin"/>
        <s v="hitcoin"/>
        <s v="maxcoin"/>
        <s v="rustbits"/>
        <s v="emoneypower"/>
        <s v="monster-byte"/>
        <s v="iticoin"/>
        <s v="bowhead"/>
        <s v="teslacoin"/>
        <s v="greencoin"/>
        <s v="zetacoin"/>
        <s v="carboncoin"/>
        <s v="swaptoken"/>
        <s v="fincoin"/>
        <s v="ufo-coin"/>
        <s v="ether-for-the-rest-of-the-world"/>
        <s v="metalcoin"/>
        <s v="canada-ecoin"/>
        <s v="russiacoin"/>
        <s v="goodomy"/>
        <s v="netcoin"/>
        <s v="dashcoin"/>
        <s v="btctalkcoin"/>
        <s v="bitz"/>
        <s v="fuelcoin"/>
        <s v="devcoin"/>
        <s v="ultracoin"/>
        <s v="mazacoin"/>
        <s v="kobocoin"/>
        <s v="tagcoin"/>
        <s v="newyorkcoin"/>
        <s v="globalcoin"/>
        <s v="trollcoin"/>
        <s v="machinecoin"/>
        <s v="veltor"/>
        <s v="ambercoin"/>
        <s v="shadow-token"/>
        <s v="paycoin2"/>
        <s v="orbitcoin"/>
        <s v="hobonickels"/>
        <s v="bitbar"/>
        <s v="version"/>
        <s v="prototanium"/>
        <s v="piggycoin"/>
        <s v="i0coin"/>
        <s v="8bit"/>
        <s v="cryptoforecast"/>
        <s v="titcoin"/>
        <s v="casino"/>
        <s v="cannacoin"/>
        <s v="funcoin"/>
        <s v="krypstal"/>
        <s v="gaia"/>
        <s v="unicoin"/>
        <s v="bitasean"/>
        <s v="aurumcoin"/>
        <s v="flycoin"/>
        <s v="fluttercoin"/>
        <s v="swing"/>
        <s v="coexistcoin"/>
        <s v="electra"/>
        <s v="stress"/>
        <s v="truckcoin"/>
        <s v="ratecoin"/>
        <s v="bitcoin-scrypt"/>
        <s v="slimcoin"/>
        <s v="tekcoin"/>
        <s v="smoke"/>
        <s v="the-cypherfunks"/>
        <s v="purevidz"/>
        <s v="bunnycoin"/>
        <s v="valorbit"/>
        <s v="icoin"/>
        <s v="pesobit"/>
        <s v="mineum"/>
        <s v="darsek"/>
        <s v="lottocoin"/>
        <s v="ripto-bux"/>
        <s v="bottlecaps"/>
        <s v="sterlingcoin"/>
        <s v="elementrem"/>
        <s v="usde"/>
        <s v="hodlcoin"/>
        <s v="prime-xi"/>
        <s v="freicoin"/>
        <s v="bolivarcoin"/>
        <s v="opal"/>
        <s v="digitalcoin"/>
        <s v="bitsilver"/>
        <s v="o2olondoncoin"/>
        <s v="wayguide"/>
        <s v="emerald"/>
        <s v="dollarcoin"/>
        <s v="qubitcoin"/>
        <s v="blakecoin"/>
        <s v="goldreserve"/>
        <s v="coin"/>
        <s v="cypher"/>
        <s v="putin-classic"/>
        <s v="virtualcoin"/>
        <s v="sacoin"/>
        <s v="yacoin"/>
        <s v="kilocoin"/>
        <s v="bit20"/>
        <s v="tickets"/>
        <s v="gameunits"/>
        <s v="cryptojacks"/>
        <s v="kushcoin"/>
        <s v="chesscoin"/>
        <s v="sproutsextreme"/>
        <s v="grantcoin"/>
        <s v="guncoin"/>
        <s v="universal-currency"/>
        <s v="coin2-1"/>
        <s v="joincoin"/>
        <s v="tittiecoin"/>
        <s v="evotion"/>
        <s v="bitgold"/>
        <s v="mtmgaming"/>
        <s v="ltbcoin"/>
        <s v="digicube"/>
        <s v="quazarcoin"/>
        <s v="kibicoin"/>
        <s v="nyancoin"/>
        <s v="globalboost-y"/>
        <s v="revolvercoin"/>
        <s v="tigercoin"/>
        <s v="tristar-coin"/>
        <s v="macron"/>
        <s v="px"/>
        <s v="joulecoin"/>
        <s v="litebar"/>
        <s v="bigup"/>
        <s v="berncash"/>
        <s v="satoshimadness"/>
        <s v="pascal-lite"/>
        <s v="evil-coin"/>
        <s v="jin-coin"/>
        <s v="petrodollar"/>
        <s v="mustangcoin"/>
        <s v="aricoin"/>
        <s v="spacecoin"/>
        <s v="paycon"/>
        <s v="goldpieces"/>
        <s v="firecoin"/>
        <s v="franko"/>
        <s v="parallelcoin"/>
        <s v="aquariuscoin"/>
        <s v="antibitcoin"/>
        <s v="plncoin"/>
        <s v="wmcoin"/>
        <s v="cachecoin"/>
        <s v="bitcurrency"/>
        <s v="independent-money-system"/>
        <s v="global-tour-coin"/>
        <s v="catcoin"/>
        <s v="bitcoin-21"/>
        <s v="redcoin"/>
        <s v="marscoin"/>
        <s v="bitzeny"/>
        <s v="guccionecoin"/>
        <s v="icobid"/>
        <s v="eurocoin"/>
        <s v="sling"/>
        <s v="spots"/>
        <s v="sativacoin"/>
        <s v="debitcoin"/>
        <s v="securecoin"/>
        <s v="vector"/>
        <s v="soilcoin"/>
        <s v="prcoin"/>
        <s v="gapcoin"/>
        <s v="dibcoin"/>
        <s v="braincoin"/>
        <s v="chronos"/>
        <s v="kurrent"/>
        <s v="dreamcoin"/>
        <s v="bumbacoin"/>
        <s v="rimbit"/>
        <s v="corgicoin"/>
        <s v="unrealcoin"/>
        <s v="agrolifecoin"/>
        <s v="secretcoin"/>
        <s v="uro"/>
        <s v="ponzicoin"/>
        <s v="doubloon"/>
        <s v="quatloo"/>
        <s v="islacoin"/>
        <s v="sixeleven"/>
        <s v="virtacoin"/>
        <s v="hexx"/>
        <s v="gbcgoldcoin"/>
        <s v="uniburst"/>
        <s v="billarycoin"/>
        <s v="allion"/>
        <s v="ammo-rewards"/>
        <s v="warp"/>
        <s v="300-token"/>
        <s v="ronpaulcoin"/>
        <s v="halcyon"/>
        <s v="jewels"/>
        <s v="allsafe"/>
        <s v="money"/>
        <s v="arbit"/>
        <s v="torcoin-tor"/>
        <s v="qibuck-asset"/>
        <s v="philosopher-stones"/>
        <s v="kittehcoin"/>
        <s v="gold-pressed-latinum"/>
        <s v="coinonat"/>
        <s v="tajcoin"/>
        <s v="pulse"/>
        <s v="mindcoin"/>
        <s v="jobscoin"/>
        <s v="flavorcoin"/>
        <s v="bios-crypto"/>
        <s v="shilling"/>
        <s v="beavercoin"/>
        <s v="zayedcoin"/>
        <s v="comet"/>
        <s v="tagrcoin"/>
        <s v="sooncoin"/>
        <s v="steps"/>
        <s v="cryptoescudo"/>
        <s v="bitcoal"/>
        <s v="hacker-gold"/>
        <s v="artex-coin"/>
        <s v="photon"/>
        <s v="popularcoin"/>
        <s v="tradecoin-v2"/>
        <s v="cabbage"/>
        <s v="vip-tokens"/>
        <s v="milocoin"/>
        <s v="compucoin"/>
        <s v="creatio"/>
        <s v="kingn-coin"/>
        <s v="destiny"/>
        <s v="kronecoin"/>
        <s v="gamebet-coin"/>
        <s v="blackstar"/>
        <s v="litecred"/>
        <s v="leacoin"/>
        <s v="zetamicron"/>
        <s v="dpay"/>
        <s v="orlycoin"/>
        <s v="impact"/>
        <s v="ride-my-car"/>
        <s v="dix-asset"/>
        <s v="luna-coin"/>
        <s v="bitquark"/>
        <s v="printerium"/>
        <s v="blazecoin"/>
        <s v="fuzzballs"/>
        <s v="impulsecoin"/>
        <s v="rsgpcoin"/>
        <s v="beatcoin"/>
        <s v="xonecoin"/>
        <s v="ibank"/>
        <s v="socialcoin-socc"/>
        <s v="high-voltage"/>
        <s v="metal-music-coin"/>
        <s v="revenu"/>
        <s v="dappster"/>
        <s v="wexcoin"/>
        <s v="songcoin"/>
        <s v="1credit"/>
        <s v="cashcoin"/>
        <s v="crtcoin"/>
        <s v="genstake"/>
        <s v="concoin"/>
        <s v="bowscoin"/>
        <s v="ego"/>
        <s v="biobar"/>
        <s v="posex"/>
        <s v="slevin"/>
        <s v="dollar-online"/>
        <s v="vaperscoin"/>
        <s v="cthulhu-offerings"/>
        <s v="osmiumcoin"/>
        <s v="speedcash"/>
        <s v="save-and-gain"/>
        <s v="bnrtxcoin"/>
        <s v="ccminer"/>
        <s v="geertcoin"/>
        <s v="zonecoin"/>
        <s v="sydpak"/>
        <s v="argus"/>
        <s v="bitvolt"/>
        <s v="bbqcoin"/>
        <s v="p7coin"/>
        <s v="nodecoin"/>
        <s v="jio-token"/>
        <s v="rawcoin2"/>
        <s v="burstocean"/>
        <s v="sojourn"/>
        <s v="elysium"/>
        <s v="selfiecoin"/>
        <s v="enigma"/>
        <s v="mantracoin"/>
        <s v="btcdragon"/>
        <s v="lex4all"/>
        <s v="californium"/>
        <s v="pizzacoin"/>
        <s v="powercoin"/>
        <s v="mikethemug"/>
        <s v="digital-credits"/>
        <s v="abncoin"/>
        <s v="environ"/>
        <s v="future-digital-currency"/>
        <s v="xenixcoin"/>
        <s v="caliphcoin"/>
        <s v="dynamiccoin"/>
        <s v="infchain"/>
        <s v="fargocoin"/>
        <s v="tezos"/>
        <s v="kolion"/>
        <s v="eboostcoin"/>
        <s v="msd"/>
        <s v="btcgold"/>
        <s v="ormeus-coin"/>
        <s v="huncoin"/>
        <s v="sphre-air"/>
        <s v="golos-gold"/>
        <s v="minex"/>
        <s v="storjcoin-x"/>
        <s v="cobinhood"/>
        <s v="india-coin"/>
        <s v="bolenum"/>
        <s v="gokucoin"/>
        <s v="dfscoin"/>
        <s v="namocoin"/>
        <s v="xtd-coin"/>
        <s v="deuscoin"/>
        <s v="gulfcoin"/>
        <s v="landcoin"/>
        <s v="attention-token-of-media"/>
        <s v="colossuscoinxt"/>
        <s v="bitqy"/>
        <s v="trezarcoin"/>
        <s v="buzzcoin"/>
        <s v="clubcoin"/>
        <s v="infinity-economics"/>
        <s v="rchain"/>
        <s v="techshares"/>
        <s v="aureus"/>
        <s v="yoyow"/>
        <s v="indorse-token"/>
        <s v="macro1"/>
        <s v="ug-token"/>
        <s v="whalecoin"/>
        <s v="stakecoin-stcn"/>
        <s v="sigmacoin"/>
        <s v="tyrocoin"/>
        <s v="wi-coin"/>
        <s v="chronologic"/>
        <s v="9coin"/>
        <s v="encryptotel-eth"/>
        <s v="wa-space"/>
        <s v="goldunioncoin"/>
        <s v="adcoin"/>
        <s v="ox-fina"/>
        <s v="etherx"/>
        <s v="magnetcoin"/>
        <s v="ergo"/>
        <s v="regacoin"/>
        <s v="zilbercoin"/>
        <s v="mind-gene"/>
        <s v="bitcoin-unlimited"/>
        <s v="hodl-bucks"/>
        <s v="peoplecoin"/>
        <s v="smart-investment-fund-token"/>
        <s v="paypeer"/>
        <s v="ganjacoin"/>
        <s v="betacoin"/>
        <s v="wowecoin"/>
        <s v="morningstar-payments"/>
        <s v="stex"/>
        <s v="teracoin"/>
        <s v="cyder"/>
        <s v="halloween-coin"/>
        <s v="avoncoin"/>
        <s v="geysercoin"/>
        <s v="paccoin"/>
        <s v="turbocoin"/>
        <s v="iquant"/>
        <s v="facecoin"/>
        <s v="t-coin"/>
        <s v="amsterdamcoin"/>
        <s v="leviarcoin"/>
        <s v="kayicoin"/>
        <s v="moneycoin"/>
        <s v="avatarcoin"/>
        <s v="futcoin"/>
        <s v="brat"/>
        <s v="thecreed"/>
        <s v="coupecoin"/>
        <s v="snakeeyes"/>
        <s v="atmcoin"/>
        <s v="alpacoin"/>
        <s v="stronghands"/>
        <s v="suretly"/>
        <s v="terranova"/>
        <s v="todaycoin"/>
        <s v="asiccoin"/>
        <s v="fireflycoin"/>
        <s v="marxcoin"/>
        <s v="president-trump"/>
        <s v="global-business-revolution"/>
        <s v="tattoocoin-limited"/>
        <s v="kexcoin"/>
        <s v="batcoin"/>
        <s v="bubble"/>
        <s v="sakuracoin"/>
        <s v="voyacoin"/>
        <s v="yescoin"/>
        <s v="advanced-internet-blocks"/>
        <s v="rublebit"/>
        <s v="pabyosi-coin-special"/>
        <s v="royalcoin"/>
        <s v="rhfcoin"/>
        <s v="bitcloud"/>
        <s v="flash"/>
        <s v="birds"/>
        <s v="picoin"/>
        <s v="bitfid"/>
        <s v="international-diamond"/>
        <s v="sharkcoin"/>
        <s v="quotient"/>
        <s v="mobilecash"/>
        <s v="bankcoin"/>
        <s v="first-bitcoin-capital"/>
        <s v="bitok"/>
        <s v="masternodecoin"/>
        <s v="aseancoin"/>
        <s v="goldmaxcoin"/>
        <s v="tellurion"/>
        <s v="peacecoin"/>
        <s v="president-johnson"/>
        <s v="wink"/>
        <s v="rabbitcoin"/>
        <s v="peepcoin"/>
        <s v="uncoin"/>
        <s v="bitcentavo"/>
        <s v="irishcoin"/>
        <s v="lepen"/>
        <s v="teslacoilcoin"/>
        <s v="bestchain"/>
        <s v="universalroyalcoin"/>
        <s v="nexxus"/>
        <s v="animecoin"/>
        <s v="fazzcoin"/>
        <s v="safe-trade-coin"/>
        <s v="cycling-coin"/>
        <s v="ur"/>
        <s v="primulon"/>
        <s v="ethereum-movie-venture"/>
        <s v="motocoin"/>
        <s v="frankywillcoin"/>
        <s v="pirate-blocks"/>
        <s v="blazercoin"/>
        <s v="richcoin"/>
        <s v="the-vegan-initiative"/>
        <s v="sportscoin"/>
        <s v="excelcoin"/>
        <s v="donationcoin"/>
        <s v="ocow"/>
        <s v="dashs"/>
        <s v="alphabitcoinfund"/>
        <s v="xde-ii"/>
        <s v="wowcoin"/>
        <s v="aces"/>
        <s v="qora"/>
        <s v="gaycoin"/>
        <s v="vegascoin"/>
        <s v="hyper"/>
        <s v="bitgem"/>
        <s v="bitalphacoin"/>
        <s v="protean"/>
        <s v="utacoin"/>
        <s v="zengold"/>
        <s v="topaz"/>
        <s v="edrcoin"/>
        <s v="golfcoin"/>
        <s v="royalties"/>
        <s v="zsecoin"/>
        <s v="cheapcoin"/>
        <s v="granitecoin"/>
        <s v="soulcoin"/>
        <s v="cybercoin"/>
        <s v="topcoin"/>
        <s v="first-bitcoin"/>
        <s v="mmxvi"/>
        <s v="digital-bullion-gold"/>
        <s v="operand"/>
        <s v="bitcedi"/>
        <s v="fonziecoin"/>
        <s v="gameleaguecoin"/>
        <s v="ugain"/>
        <s v="pinkdog"/>
        <s v="happy-creator-coin"/>
        <s v="quebecoin"/>
        <s v="axiom"/>
        <s v="antimatter"/>
        <s v="clinton"/>
        <s v="dubstep"/>
        <s v="psilocybin"/>
        <s v="invisiblecoin"/>
        <s v="omicron"/>
        <s v="blockchain-index"/>
        <s v="skeincoin"/>
        <s v="xaucoin"/>
        <s v="netbit"/>
        <s v="shacoin"/>
        <s v="darklisk"/>
        <s v="karmacoin"/>
        <s v="x2"/>
        <s v="elacoin"/>
        <s v="cubits"/>
        <s v="microcoin"/>
        <s v="prismchain"/>
        <s v="eggcoin"/>
        <s v="victoriouscoin"/>
        <s v="safecoin"/>
        <s v="sync"/>
        <s v="neptune-classic"/>
        <s v="rcoin"/>
        <s v="cashme"/>
        <s v="opescoin"/>
        <s v="deltacredits"/>
        <s v="miyucoin"/>
        <s v="superturbostake"/>
        <s v="mavro"/>
        <s v="wearesatoshi"/>
        <s v="amis"/>
        <s v="cbd-crystals"/>
        <s v="kashhcoin"/>
        <s v="trickycoin"/>
        <s v="lazaruscoin"/>
        <s v="bongger"/>
        <s v="pokecoin"/>
        <s v="internet-of-things"/>
        <s v="axfunds"/>
        <s v="lathaan"/>
        <s v="linkedcoin"/>
        <s v="moneta2"/>
        <s v="teamup"/>
        <s v="shellcoin"/>
        <s v="bagcoin"/>
        <s v="fedorashare"/>
        <s v="digitalfund"/>
        <s v="fibocoins"/>
      </sharedItems>
    </cacheField>
    <cacheField name="Coin.name" numFmtId="0">
      <sharedItems count="1144">
        <s v="Bitcoin"/>
        <s v="Ethereum"/>
        <s v="Ripple"/>
        <s v="Bitcoin Cash"/>
        <s v="Litecoin"/>
        <s v="Dash"/>
        <s v="NEM"/>
        <s v="NEO"/>
        <s v="IOTA"/>
        <s v="Monero"/>
        <s v="Ethereum Classic"/>
        <s v="BitConnect"/>
        <s v="OmiseGO"/>
        <s v="Qtum"/>
        <s v="Lisk"/>
        <s v="Zcash"/>
        <s v="Waves"/>
        <s v="Cardano"/>
        <s v="Tether"/>
        <s v="Stratis"/>
        <s v="Stellar Lumens"/>
        <s v="Steem"/>
        <s v="Ark"/>
        <s v="Kyber Network"/>
        <s v="Hshare"/>
        <s v="Bytecoin"/>
        <s v="Gas"/>
        <s v="EOS"/>
        <s v="Augur"/>
        <s v="Basic Attention Token"/>
        <s v="TenX"/>
        <s v="MaidSafeCoin"/>
        <s v="PIVX"/>
        <s v="SALT"/>
        <s v="Walton"/>
        <s v="Ardor"/>
        <s v="Komodo"/>
        <s v="Golem"/>
        <s v="Iconomi"/>
        <s v="TRON"/>
        <s v="Decred"/>
        <s v="ChainLink"/>
        <s v="Factom"/>
        <s v="GameCredits"/>
        <s v="BitShares"/>
        <s v="Binance Coin"/>
        <s v="DigixDAO"/>
        <s v="Metal"/>
        <s v="Siacoin"/>
        <s v="Gnosis"/>
        <s v="Veritaseum"/>
        <s v="DigiByte"/>
        <s v="Blocknet"/>
        <s v="FirstCoin"/>
        <s v="Dogecoin"/>
        <s v="Civic"/>
        <s v="BitcoinDark"/>
        <s v="Populous"/>
        <s v="Byteball Bytes"/>
        <s v="FunFair"/>
        <s v="MCAP"/>
        <s v="SingularDTV"/>
        <s v="Status"/>
        <s v="0x"/>
        <s v="Aeternity"/>
        <s v="Bancor"/>
        <s v="Lykke"/>
        <s v="Verge"/>
        <s v="Pura"/>
        <s v="Bytom"/>
        <s v="GXShares"/>
        <s v="VeChain"/>
        <s v="Syscoin"/>
        <s v="Nexus"/>
        <s v="Kin"/>
        <s v="Centra"/>
        <s v="Monaco"/>
        <s v="KickCoin"/>
        <s v="AdEx"/>
        <s v="Aidos Kuneen"/>
        <s v="Nxt"/>
        <s v="Loopring"/>
        <s v="Ubiq"/>
        <s v="Bitdeal"/>
        <s v="Aragon"/>
        <s v="SONM"/>
        <s v="MobileGo"/>
        <s v="Vertcoin"/>
        <s v="Edgeless"/>
        <s v="I/O Coin"/>
        <s v="Moeda Loyalty Points"/>
        <s v="Wings"/>
        <s v="Particl"/>
        <s v="Bitquence"/>
        <s v="NAV Coin"/>
        <s v="iExec RLC"/>
        <s v="Melon"/>
        <s v="Cofound.it"/>
        <s v="Gulden"/>
        <s v="Storj"/>
        <s v="Dentacoin"/>
        <s v="Rise"/>
        <s v="Elastic"/>
        <s v="Aeon"/>
        <s v="Regalcoin"/>
        <s v="ATBCoin"/>
        <s v="ZCoin"/>
        <s v="TokenCard"/>
        <s v="TaaS"/>
        <s v="CloakCoin"/>
        <s v="Substratum"/>
        <s v="Viberate"/>
        <s v="FairCoin"/>
        <s v="NoLimitCoin"/>
        <s v="Decentraland"/>
        <s v="Tierion"/>
        <s v="MonaCoin"/>
        <s v="BitBay"/>
        <s v="FirstBlood"/>
        <s v="Monetha"/>
        <s v="DECENT"/>
        <s v="Peercoin"/>
        <s v="Target Coin"/>
        <s v="Stox"/>
        <s v="Neblio"/>
        <s v="district0x"/>
        <s v="WeTrust"/>
        <s v="Metaverse ETP"/>
        <s v="ReddCoin"/>
        <s v="Rialto"/>
        <s v="Quantum Resistant Ledger"/>
        <s v="Viacoin"/>
        <s v="Unobtanium"/>
        <s v="CoinDash"/>
        <s v="Credo"/>
        <s v="Counterparty"/>
        <s v="SpreadCoin"/>
        <s v="Emercoin"/>
        <s v="Clams"/>
        <s v="Asch"/>
        <s v="Blackmoon Crypto"/>
        <s v="Patientory"/>
        <s v="Diamond"/>
        <s v="Etheroll"/>
        <s v="ION"/>
        <s v="Triggers"/>
        <s v="Crown"/>
        <s v="Safe Exchange Coin"/>
        <s v="Xaurum"/>
        <s v="Po.et"/>
        <s v="SIBCoin"/>
        <s v="The ChampCoin"/>
        <s v="Rivetz"/>
        <s v="adToken"/>
        <s v="Skycoin"/>
        <s v="Humaniq"/>
        <s v="Einsteinium"/>
        <s v="Nexium"/>
        <s v="Agrello"/>
        <s v="LEOcoin"/>
        <s v="Mothership"/>
        <s v="MonetaryUnit"/>
        <s v="Numeraire"/>
        <s v="Namecoin"/>
        <s v="Aventus"/>
        <s v="Santiment Network Token"/>
        <s v="Compcoin"/>
        <s v="Rubycoin"/>
        <s v="vSlice"/>
        <s v="Polybius"/>
        <s v="Mysterium"/>
        <s v="XPlay"/>
        <s v="Obsidian"/>
        <s v="Voise"/>
        <s v="Lunyr"/>
        <s v="E-coin"/>
        <s v="OKCash"/>
        <s v="ZenCash"/>
        <s v="OAX"/>
        <s v="SaluS"/>
        <s v="Expanse"/>
        <s v="Burst"/>
        <s v="Radium"/>
        <s v="Matchpool"/>
        <s v="DigitalNote"/>
        <s v="LBRY Credits"/>
        <s v="Shift"/>
        <s v="InvestFeed"/>
        <s v="BlackCoin"/>
        <s v="Quantum"/>
        <s v="KoreCoin"/>
        <s v="PotCoin"/>
        <s v="Pillar"/>
        <s v="Chronobank"/>
        <s v="Agoras Tokens"/>
        <s v="Swarm City"/>
        <s v="SmartCash"/>
        <s v="Energycoin"/>
        <s v="Synereo"/>
        <s v="DAO.Casino"/>
        <s v="Lampix"/>
        <s v="Golos"/>
        <s v="Omni"/>
        <s v="BitDice"/>
        <s v="GridCoin"/>
        <s v="Soarcoin"/>
        <s v="Primas"/>
        <s v="Gambit"/>
        <s v="Waves Community Token"/>
        <s v="Prospectors Gold"/>
        <s v="Nimiq"/>
        <s v="Databits"/>
        <s v="Peerplays"/>
        <s v="Mooncoin"/>
        <s v="LoMoCoin"/>
        <s v="BCAP"/>
        <s v="Wagerr"/>
        <s v="RaiBlocks"/>
        <s v="VIBE"/>
        <s v="FlorinCoin"/>
        <s v="XCurrency"/>
        <s v="ToaCoin"/>
        <s v="OBITS"/>
        <s v="Pluton"/>
        <s v="Spectrecoin"/>
        <s v="ATC Coin"/>
        <s v="VeriCoin"/>
        <s v="iXledger"/>
        <s v="Voxels"/>
        <s v="E-Dinar Coin"/>
        <s v="NeosCoin"/>
        <s v="Musicoin"/>
        <s v="PinkCoin"/>
        <s v="Pepe Cash"/>
        <s v="Ecobit"/>
        <s v="eBTC"/>
        <s v="XTRABYTES"/>
        <s v="NVO"/>
        <s v="Sphere"/>
        <s v="Groestlcoin"/>
        <s v="SolarCoin"/>
        <s v="PRIZM"/>
        <s v="Incent"/>
        <s v="Internet of People"/>
        <s v="bitCNY"/>
        <s v="BlockCAT"/>
        <s v="BitSend"/>
        <s v="Sprouts"/>
        <s v="Hive"/>
        <s v="Novacoin"/>
        <s v="Feathercoin"/>
        <s v="Blocktix"/>
        <s v="Ethereum Dark"/>
        <s v="Propy"/>
        <s v="PoSW Coin"/>
        <s v="TheGCCcoin"/>
        <s v="WhiteCoin"/>
        <s v="DubaiCoin"/>
        <s v="BitBean"/>
        <s v="Neutron"/>
        <s v="HEAT"/>
        <s v="Bitcore"/>
        <s v="Dent"/>
        <s v="DNotes"/>
        <s v="Creditbit"/>
        <s v="Bitland"/>
        <s v="Bitcrystals"/>
        <s v="Project Decorum"/>
        <s v="ArtByte"/>
        <s v="Auroracoin"/>
        <s v="FoldingCoin"/>
        <s v="Tao"/>
        <s v="Qwark"/>
        <s v="EncryptoTel [WAVES]"/>
        <s v="Unity Ingot"/>
        <s v="E-Currency Coin"/>
        <s v="EquiTrader"/>
        <s v="HTMLCOIN"/>
        <s v="COSS"/>
        <s v="Curecoin"/>
        <s v="Bitcoin Plus"/>
        <s v="MyBit Token"/>
        <s v="Vcash"/>
        <s v="CVCoin"/>
        <s v="Global Currency Reserve"/>
        <s v="ExclusiveCoin"/>
        <s v="Bela"/>
        <s v="EmberCoin"/>
        <s v="Pesetacoin"/>
        <s v="Terracoin"/>
        <s v="EuropeCoin"/>
        <s v="Stealthcoin"/>
        <s v="Blitzcash"/>
        <s v="GoldCoin"/>
        <s v="Opus"/>
        <s v="APX"/>
        <s v="Wild Beast Block"/>
        <s v="Bismuth"/>
        <s v="Circuits of Value"/>
        <s v="Sequence"/>
        <s v="Primalbase Token"/>
        <s v="Pascal Coin"/>
        <s v="Condensate"/>
        <s v="Hush"/>
        <s v="Visio"/>
        <s v="Bitswift"/>
        <s v="Crave"/>
        <s v="Synergy"/>
        <s v="Social"/>
        <s v="TrueFlip"/>
        <s v="ZrCoin"/>
        <s v="Dynamic"/>
        <s v="Centurion"/>
        <s v="HempCoin"/>
        <s v="OracleChain"/>
        <s v="ZClassic"/>
        <s v="TrustPlus"/>
        <s v="ChainCoin"/>
        <s v="Steem Dollars"/>
        <s v="GeoCoin"/>
        <s v="NuShares"/>
        <s v="Myriad"/>
        <s v="Starta"/>
        <s v="SunContract"/>
        <s v="Syndicate"/>
        <s v="MarteXcoin"/>
        <s v="DopeCoin"/>
        <s v="bitUSD"/>
        <s v="DeepOnion"/>
        <s v="Primecoin"/>
        <s v="Bitmark"/>
        <s v="Memetic"/>
        <s v="PutinCoin"/>
        <s v="Ethbits"/>
        <s v="EverGreenCoin"/>
        <s v="Breakout Stake"/>
        <s v="VPNCoin"/>
        <s v="Atmos"/>
        <s v="VeriumReserve"/>
        <s v="Signatum"/>
        <s v="REX"/>
        <s v="CasinoCoin"/>
        <s v="2GIVE"/>
        <s v="Zeitcoin"/>
        <s v="CHIPS"/>
        <s v="Breakout"/>
        <s v="TransferCoin"/>
        <s v="B3Coin"/>
        <s v="Happycoin"/>
        <s v="Oceanlab"/>
        <s v="BlueCoin"/>
        <s v="AdShares"/>
        <s v="Embers"/>
        <s v="NEVERDIE"/>
        <s v="CannabisCoin"/>
        <s v="NautilusCoin"/>
        <s v="Creativecoin"/>
        <s v="Remicoin"/>
        <s v="Mintcoin"/>
        <s v="Tokes"/>
        <s v="Internxt"/>
        <s v="vTorrent"/>
        <s v="CryptoPing"/>
        <s v="Startcoin"/>
        <s v="Legends Room"/>
        <s v="Colossuscoin V2"/>
        <s v="Elixir"/>
        <s v="Shorty"/>
        <s v="Darcrus"/>
        <s v="Espers"/>
        <s v="Renos"/>
        <s v="Magi"/>
        <s v="HunterCoin"/>
        <s v="1337"/>
        <s v="Adzcoin"/>
        <s v="Rupee"/>
        <s v="MergeCoin"/>
        <s v="Adelphoi"/>
        <s v="Janus"/>
        <s v="Riecoin"/>
        <s v="e-Gulden"/>
        <s v="Linda"/>
        <s v="ParkByte"/>
        <s v="CryptoCarbon"/>
        <s v="Minereum"/>
        <s v="FundYourselfNow"/>
        <s v="Dimecoin"/>
        <s v="MonacoCoin"/>
        <s v="SkinCoin"/>
        <s v="Mercury"/>
        <s v="HyperStake"/>
        <s v="Unify"/>
        <s v="BlakeStar"/>
        <s v="Fastcoin"/>
        <s v="Zennies"/>
        <s v="Sexcoin"/>
        <s v="InsaneCoin"/>
        <s v="EOT Token"/>
        <s v="Growers International"/>
        <s v="808Coin"/>
        <s v="Bata"/>
        <s v="Miners' Reward Token"/>
        <s v="Onix"/>
        <s v="VIVO"/>
        <s v="Link Platform"/>
        <s v="Footy Cash"/>
        <s v="ArcticCoin"/>
        <s v="Trackr"/>
        <s v="SmileyCoin"/>
        <s v="Giga Watt Token"/>
        <s v="Zoin"/>
        <s v="Netko"/>
        <s v="Influxcoin"/>
        <s v="Bytecent"/>
        <s v="SwagBucks"/>
        <s v="Dotcoin"/>
        <s v="ZcCoin"/>
        <s v="Sumokoin"/>
        <s v="Capricoin"/>
        <s v="FedoraCoin"/>
        <s v="NuBits"/>
        <s v="Woodcoin"/>
        <s v="FuckToken"/>
        <s v="WorldCoin"/>
        <s v="Helleniccoin"/>
        <s v="StarCredits"/>
        <s v="Mao Zedong"/>
        <s v="Fujinto"/>
        <s v="Cream"/>
        <s v="HiCoin"/>
        <s v="InflationCoin"/>
        <s v="Dinastycoin"/>
        <s v="Billionaire Token"/>
        <s v="Tychocoin"/>
        <s v="DigitalPrice"/>
        <s v="WavesGo"/>
        <s v="BritCoin"/>
        <s v="Sovereign Hero"/>
        <s v="Cryptonite"/>
        <s v="Fantomcoin"/>
        <s v="LiteDoge"/>
        <s v="BTSR"/>
        <s v="PIECoin"/>
        <s v="KekCoin"/>
        <s v="Megacoin"/>
        <s v="Unitus"/>
        <s v="FujiCoin"/>
        <s v="Vsync"/>
        <s v="Bitradio"/>
        <s v="UnbreakableCoin"/>
        <s v="ShadowCash"/>
        <s v="Ultimate Secure Cash"/>
        <s v="SmartCoin"/>
        <s v="Denarius"/>
        <s v="Linx"/>
        <s v="Etheriya"/>
        <s v="Scorecoin"/>
        <s v="Karbowanec"/>
        <s v="Jetcoin"/>
        <s v="NobleCoin"/>
        <s v="Pandacoin"/>
        <s v="iDice"/>
        <s v="Moin"/>
        <s v="DigitalDevelopersFund"/>
        <s v="Virtacoinplus"/>
        <s v="SuperCoin"/>
        <s v="MojoCoin"/>
        <s v="Zero"/>
        <s v="Falcoin"/>
        <s v="FIMKrypto"/>
        <s v="DaxxCoin"/>
        <s v="C-Bit"/>
        <s v="WomenCoin"/>
        <s v="DraftCoin"/>
        <s v="Newbium"/>
        <s v="DAS"/>
        <s v="ProCurrency"/>
        <s v="CoinonatX"/>
        <s v="Dalecoin"/>
        <s v="BlockPay"/>
        <s v="PostCoin"/>
        <s v="DT Token"/>
        <s v="Solaris"/>
        <s v="Phoenixcoin"/>
        <s v="RouletteToken"/>
        <s v="TrumpCoin"/>
        <s v="GCoin"/>
        <s v="Deutsche eMark"/>
        <s v="FuturXe"/>
        <s v="Triangles"/>
        <s v="Atomic Coin"/>
        <s v="42-coin"/>
        <s v="OHM"/>
        <s v="XP"/>
        <s v="Eternity"/>
        <s v="Anoncoin"/>
        <s v="Rubies"/>
        <s v="Wyvern"/>
        <s v="Bitstar"/>
        <s v="BitTokens"/>
        <s v="Pakcoin"/>
        <s v="bitBTC"/>
        <s v="PlatinumBAR"/>
        <s v="Francs"/>
        <s v="CybCSec"/>
        <s v="Interzone"/>
        <s v="CryptoWorldX Token"/>
        <s v="Rupaya"/>
        <s v="LanaCoin"/>
        <s v="Theresa May Coin"/>
        <s v="Virta Unique Coin"/>
        <s v="Bitcoin Planet"/>
        <s v="Universe"/>
        <s v="BriaCoin"/>
        <s v="Zurcoin"/>
        <s v="Flaxscript"/>
        <s v="Elcoin"/>
        <s v="ReeCoin"/>
        <s v="EcoCoin"/>
        <s v="Honey"/>
        <s v="Acoin"/>
        <s v="Tattoocoin (Standard Edition)"/>
        <s v="Cannation"/>
        <s v="NeuroDAO"/>
        <s v="GoldBlocks"/>
        <s v="BitcoinFast"/>
        <s v="Vault Coin"/>
        <s v="Yocoin"/>
        <s v="BiblePay"/>
        <s v="DROXNE"/>
        <s v="X-Coin"/>
        <s v="bitEUR"/>
        <s v="OctoCoin"/>
        <s v="HealthyWormCoin"/>
        <s v="BipCoin"/>
        <s v="TileCoin"/>
        <s v="Crypto"/>
        <s v="Argentum"/>
        <s v="CampusCoin"/>
        <s v="GlobalToken"/>
        <s v="Neuro"/>
        <s v="GPU Coin"/>
        <s v="Asiadigicoin"/>
        <s v="Master Swiscoin"/>
        <s v="Litecoin Plus"/>
        <s v="ChanCoin"/>
        <s v="BoostCoin"/>
        <s v="Digital Rupees"/>
        <s v="BenjiRolls"/>
        <s v="NevaCoin"/>
        <s v="Antilitecoin"/>
        <s v="WalletBuildersCoin"/>
        <s v="Marijuanacoin"/>
        <s v="Eryllium"/>
        <s v="CHNCoin"/>
        <s v="Useless Ethereum Token"/>
        <s v="Veros"/>
        <s v="Iconic"/>
        <s v="Coimatic 2.0"/>
        <s v="CrevaCoin"/>
        <s v="AnarchistsPrime"/>
        <s v="Frazcoin"/>
        <s v="Solarflarecoin"/>
        <s v="Magnum"/>
        <s v="LiteCoin Ultra"/>
        <s v="LetItRide"/>
        <s v="Project-X"/>
        <s v="LiteBitcoin"/>
        <s v="LevoPlus"/>
        <s v="Ebittree Coin"/>
        <s v="HarmonyCoin"/>
        <s v="Ulatech"/>
        <s v="Digital Money Bits"/>
        <s v="AppleCoin"/>
        <s v="SuperNET"/>
        <s v="Jinn"/>
        <s v="Round"/>
        <s v="Arcade Token"/>
        <s v="Bitpark Coin"/>
        <s v="AsiaCoin"/>
        <s v="YashCoin"/>
        <s v="LuckChain"/>
        <s v="Quark"/>
        <s v="ICO OpenLedger"/>
        <s v="InPay"/>
        <s v="Crypto Bullion"/>
        <s v="EarthCoin"/>
        <s v="Ixcoin"/>
        <s v="Infinitecoin"/>
        <s v="AudioCoin"/>
        <s v="Altcoin"/>
        <s v="CageCoin"/>
        <s v="IncaKoin"/>
        <s v="CryptCoin"/>
        <s v="HitCoin"/>
        <s v="MaxCoin"/>
        <s v="Rustbits"/>
        <s v="EMoneyPower"/>
        <s v="Monster Byte"/>
        <s v="iTicoin"/>
        <s v="Bowhead"/>
        <s v="TeslaCoin"/>
        <s v="Greencoin"/>
        <s v="Zetacoin"/>
        <s v="Carboncoin"/>
        <s v="SwapToken"/>
        <s v="FinCoin"/>
        <s v="UFO Coin"/>
        <s v="E4ROW"/>
        <s v="MetalCoin"/>
        <s v="Canada eCoin"/>
        <s v="RussiaCoin"/>
        <s v="Goodomy"/>
        <s v="NetCoin"/>
        <s v="Dashcoin"/>
        <s v="BTCtalkcoin"/>
        <s v="Bitz"/>
        <s v="FuelCoin"/>
        <s v="Devcoin"/>
        <s v="UltraCoin"/>
        <s v="MazaCoin"/>
        <s v="Kobocoin"/>
        <s v="TagCoin"/>
        <s v="NewYorkCoin"/>
        <s v="GlobalCoin"/>
        <s v="Trollcoin"/>
        <s v="Machinecoin"/>
        <s v="Veltor"/>
        <s v="AmberCoin"/>
        <s v="Shadow Token"/>
        <s v="PayCoin"/>
        <s v="Orbitcoin"/>
        <s v="HoboNickels"/>
        <s v="BitBar"/>
        <s v="Version"/>
        <s v="Prototanium"/>
        <s v="Piggycoin"/>
        <s v="I0Coin"/>
        <s v="8Bit"/>
        <s v="CryptoForecast"/>
        <s v="Titcoin"/>
        <s v="Casino"/>
        <s v="Cannacoin"/>
        <s v="FUNCoin"/>
        <s v="Krypstal"/>
        <s v="GAIA"/>
        <s v="UniCoin"/>
        <s v="BitAsean"/>
        <s v="AurumCoin"/>
        <s v="Flycoin"/>
        <s v="FlutterCoin"/>
        <s v="Swing"/>
        <s v="CoExistCoin"/>
        <s v="Electra"/>
        <s v="Stress"/>
        <s v="Truckcoin"/>
        <s v="Ratecoin"/>
        <s v="Bitcoin Scrypt"/>
        <s v="Slimcoin"/>
        <s v="TEKcoin"/>
        <s v="Smoke"/>
        <s v="The Cypherfunks"/>
        <s v="PureVidz"/>
        <s v="BunnyCoin"/>
        <s v="Valorbit"/>
        <s v="iCoin"/>
        <s v="Pesobit"/>
        <s v="Mineum"/>
        <s v="Darsek"/>
        <s v="LottoCoin"/>
        <s v="Ripto Bux"/>
        <s v="Bottlecaps"/>
        <s v="Sterlingcoin"/>
        <s v="Elementrem"/>
        <s v="USDe"/>
        <s v="HOdlcoin"/>
        <s v="Prime-XI"/>
        <s v="Freicoin"/>
        <s v="Bolivarcoin"/>
        <s v="Opal"/>
        <s v="Digitalcoin"/>
        <s v="bitSilver"/>
        <s v="020LondonCoin"/>
        <s v="WayGuide"/>
        <s v="Emerald Crypto"/>
        <s v="Dollarcoin"/>
        <s v="QubitCoin"/>
        <s v="Blakecoin"/>
        <s v="GoldReserve"/>
        <s v="Coin(O)"/>
        <s v="Cypher"/>
        <s v="Putin Classic"/>
        <s v="VirtualCoin"/>
        <s v="SACoin"/>
        <s v="Yacoin"/>
        <s v="KiloCoin"/>
        <s v="Bit20"/>
        <s v="Tickets"/>
        <s v="GameUnits"/>
        <s v="Cryptojacks"/>
        <s v="KushCoin"/>
        <s v="ChessCoin"/>
        <s v="SproutsExtreme"/>
        <s v="Grantcoin"/>
        <s v="Guncoin"/>
        <s v="Universal Currency"/>
        <s v="Coin2.1"/>
        <s v="Joincoin"/>
        <s v="TittieCoin"/>
        <s v="Evotion"/>
        <s v="bitGold"/>
        <s v="MTMGaming"/>
        <s v="LTBcoin"/>
        <s v="DigiCube"/>
        <s v="QuazarCoin"/>
        <s v="KibiCoin"/>
        <s v="Nyancoin"/>
        <s v="GlobalBoost-Y"/>
        <s v="RevolverCoin"/>
        <s v="Tigercoin"/>
        <s v="Tristar Coin"/>
        <s v="MACRON"/>
        <s v="PX"/>
        <s v="Joulecoin"/>
        <s v="LiteBar"/>
        <s v="BigUp"/>
        <s v="BERNcash"/>
        <s v="SatoshiMadness"/>
        <s v="Pascal Lite"/>
        <s v="Evil Coin"/>
        <s v="Jin Coin"/>
        <s v="PetroDollar"/>
        <s v="MustangCoin"/>
        <s v="Aricoin"/>
        <s v="SpaceCoin"/>
        <s v="PayCon"/>
        <s v="GoldPieces"/>
        <s v="Firecoin"/>
        <s v="Franko"/>
        <s v="ParallelCoin"/>
        <s v="AquariusCoin"/>
        <s v="AntiBitcoin"/>
        <s v="PLNcoin"/>
        <s v="WMCoin"/>
        <s v="CacheCoin"/>
        <s v="Bitcurrency"/>
        <s v="Independent Money System"/>
        <s v="Global Tour Coin"/>
        <s v="Catcoin"/>
        <s v="Bitcoin 21"/>
        <s v="RedCoin"/>
        <s v="Marscoin"/>
        <s v="Bitzeny"/>
        <s v="GuccioneCoin"/>
        <s v="ICOBID"/>
        <s v="Eurocoin"/>
        <s v="Sling"/>
        <s v="Spots"/>
        <s v="Sativacoin"/>
        <s v="Debitcoin"/>
        <s v="SecureCoin"/>
        <s v="Vector"/>
        <s v="SOILcoin"/>
        <s v="PRCoin"/>
        <s v="Gapcoin"/>
        <s v="DIBCOIN"/>
        <s v="Braincoin"/>
        <s v="Chronos"/>
        <s v="Kurrent"/>
        <s v="Dreamcoin"/>
        <s v="BumbaCoin"/>
        <s v="Rimbit"/>
        <s v="CorgiCoin"/>
        <s v="Unrealcoin"/>
        <s v="AgrolifeCoin"/>
        <s v="SecretCoin"/>
        <s v="Uro"/>
        <s v="PonziCoin"/>
        <s v="Doubloon"/>
        <s v="Quatloo"/>
        <s v="IslaCoin"/>
        <s v="SixEleven"/>
        <s v="Virtacoin"/>
        <s v="Hexx"/>
        <s v="GBCGoldCoin"/>
        <s v="UniBURST"/>
        <s v="BillaryCoin"/>
        <s v="Allion"/>
        <s v="Ammo Rewards"/>
        <s v="WARP"/>
        <s v="300 Token"/>
        <s v="RonPaulCoin"/>
        <s v="Halcyon"/>
        <s v="Jewels"/>
        <s v="AllSafe"/>
        <s v="Money"/>
        <s v="ARbit"/>
        <s v="Torcoin"/>
        <s v="Qibuck Asset"/>
        <s v="Philosopher Stones"/>
        <s v="Kittehcoin"/>
        <s v="Gold Pressed Latinum"/>
        <s v="Coinonat"/>
        <s v="TajCoin"/>
        <s v="Pulse"/>
        <s v="MindCoin"/>
        <s v="JobsCoin"/>
        <s v="FlavorCoin"/>
        <s v="BiosCrypto"/>
        <s v="Shilling"/>
        <s v="BeaverCoin"/>
        <s v="Zayedcoin"/>
        <s v="Comet"/>
        <s v="TAGRcoin"/>
        <s v="SoonCoin"/>
        <s v="Steps"/>
        <s v="CryptoEscudo"/>
        <s v="BitCoal"/>
        <s v="Hacker Gold"/>
        <s v="Artex Coin"/>
        <s v="Photon"/>
        <s v="PopularCoin"/>
        <s v="Tradecoin"/>
        <s v="Cabbage"/>
        <s v="VIP Tokens"/>
        <s v="MiloCoin"/>
        <s v="CompuCoin"/>
        <s v="Creatio"/>
        <s v="KingN Coin"/>
        <s v="Destiny"/>
        <s v="Kronecoin"/>
        <s v="GameBet Coin"/>
        <s v="Blackstar"/>
        <s v="Litecred"/>
        <s v="LeaCoin"/>
        <s v="ZetaMicron"/>
        <s v="DPAY"/>
        <s v="Orlycoin"/>
        <s v="Impact"/>
        <s v="Ride My Car"/>
        <s v="Dix Asset"/>
        <s v="Luna Coin"/>
        <s v="BitQuark"/>
        <s v="Printerium"/>
        <s v="BlazeCoin"/>
        <s v="FuzzBalls"/>
        <s v="ImpulseCoin"/>
        <s v="RSGPcoin"/>
        <s v="Beatcoin"/>
        <s v="Xonecoin"/>
        <s v="iBank"/>
        <s v="SocialCoin"/>
        <s v="High Voltage"/>
        <s v="Metal Music Coin"/>
        <s v="Revenu"/>
        <s v="DAPPSTER"/>
        <s v="Wexcoin"/>
        <s v="SongCoin"/>
        <s v="1CRedit"/>
        <s v="Cashcoin"/>
        <s v="CRTCoin"/>
        <s v="G3N"/>
        <s v="Concoin"/>
        <s v="BowsCoin"/>
        <s v="EGO"/>
        <s v="BioBar"/>
        <s v="PosEx"/>
        <s v="Slevin"/>
        <s v="Dollar Online"/>
        <s v="VapersCoin"/>
        <s v="Cthulhu Offerings"/>
        <s v="OsmiumCoin"/>
        <s v="Speedcash"/>
        <s v="Save and Gain"/>
        <s v="BnrtxCoin"/>
        <s v="CCMiner"/>
        <s v="GeertCoin"/>
        <s v="Zonecoin"/>
        <s v="SydPak"/>
        <s v="Argus"/>
        <s v="Bitvolt"/>
        <s v="BBQCoin"/>
        <s v="P7Coin"/>
        <s v="NodeCoin"/>
        <s v="JIO Token"/>
        <s v="Rawcoin"/>
        <s v="BurstOcean"/>
        <s v="Sojourn"/>
        <s v="Elysium"/>
        <s v="Selfiecoin"/>
        <s v="Enigma"/>
        <s v="MantraCoin"/>
        <s v="BTCDragon"/>
        <s v="Lex4All"/>
        <s v="Californium"/>
        <s v="PizzaCoin"/>
        <s v="Powercoin"/>
        <s v="MikeTheMug"/>
        <s v="Digital Credits"/>
        <s v="Abncoin"/>
        <s v="Environ"/>
        <s v="Future Digital Currency"/>
        <s v="Xenixcoin"/>
        <s v="CaliphCoin"/>
        <s v="DynamicCoin"/>
        <s v="InfChain"/>
        <s v="Fargocoin"/>
        <s v="Tezos (Pre-Launch)"/>
        <s v="Kolion"/>
        <s v="eBoost"/>
        <s v="MSD"/>
        <s v="BTCGold"/>
        <s v="Ormeus Coin"/>
        <s v="Huncoin"/>
        <s v="Sphre AIR "/>
        <s v="Golos Gold"/>
        <s v="Minex"/>
        <s v="Storjcoin X"/>
        <s v="Cobinhood"/>
        <s v="India Coin"/>
        <s v="Bolenum"/>
        <s v="Gokucoin"/>
        <s v="DFSCoin"/>
        <s v="NamoCoin"/>
        <s v="XTD Coin"/>
        <s v="DeusCoin"/>
        <s v="GulfCoin"/>
        <s v="LandCoin"/>
        <s v="ATMChain"/>
        <s v="ColossusCoinXT"/>
        <s v="bitqy"/>
        <s v="TrezarCoin"/>
        <s v="BuzzCoin"/>
        <s v="ClubCoin"/>
        <s v="Infinity Economics"/>
        <s v="RChain"/>
        <s v="TechShares"/>
        <s v="Aureus"/>
        <s v="YOYOW"/>
        <s v="Indorse Token"/>
        <s v="Macro"/>
        <s v="UG Token"/>
        <s v="WhaleCoin"/>
        <s v="Stakecoin"/>
        <s v="SIGMAcoin"/>
        <s v="Tyrocoin"/>
        <s v="Wi Coin"/>
        <s v="Chronologic"/>
        <s v="9COIN"/>
        <s v="EncryptoTel [ETH]"/>
        <s v="WA Space"/>
        <s v="GoldUnionCoin"/>
        <s v="AdCoin"/>
        <s v="OX Fina"/>
        <s v="Etherx"/>
        <s v="Magnetcoin"/>
        <s v="Ergo"/>
        <s v="Regacoin"/>
        <s v="Zilbercoin"/>
        <s v="Mind Gene"/>
        <s v="Bitcoin Unlimited (Futures)"/>
        <s v="HODL Bucks"/>
        <s v="PeopleCoin"/>
        <s v="Smart Investment Fund Token"/>
        <s v="PayPeer"/>
        <s v="GanjaCoin"/>
        <s v="BetaCoin"/>
        <s v="Wowecoin"/>
        <s v="MorningStar"/>
        <s v="STEX"/>
        <s v="TeraCoin"/>
        <s v="Cyder"/>
        <s v="Halloween Coin"/>
        <s v="Avoncoin"/>
        <s v="GeyserCoin"/>
        <s v="Paccoin"/>
        <s v="TurboCoin"/>
        <s v="iQuant"/>
        <s v="Facecoin"/>
        <s v="T-coin"/>
        <s v="AmsterdamCoin"/>
        <s v="LeviarCoin"/>
        <s v="Kayicoin"/>
        <s v="MoneyCoin"/>
        <s v="AvatarCoin"/>
        <s v="FutCoin"/>
        <s v="BRAT"/>
        <s v="TheCreed"/>
        <s v="Coupecoin"/>
        <s v="SnakeEyes"/>
        <s v="ATMCoin"/>
        <s v="AlpaCoin"/>
        <s v="StrongHands"/>
        <s v="Suretly"/>
        <s v="TerraNova"/>
        <s v="TodayCoin"/>
        <s v="AsicCoin"/>
        <s v="FireFlyCoin"/>
        <s v="MarxCoin"/>
        <s v="President Trump"/>
        <s v="Global Business Revolution"/>
        <s v="Tattoocoin (Limited Edition)"/>
        <s v="KexCoin"/>
        <s v="BatCoin"/>
        <s v="Bubble"/>
        <s v="Sakuracoin"/>
        <s v="Voyacoin"/>
        <s v="Yescoin"/>
        <s v="Advanced Internet Blocks"/>
        <s v="RubleBit"/>
        <s v="Pabyosi Coin (Special)"/>
        <s v="RoyalCoin"/>
        <s v="RHFCoin"/>
        <s v="Bitcloud"/>
        <s v="Flash"/>
        <s v="Birds"/>
        <s v="PiCoin"/>
        <s v="BITFID"/>
        <s v="International Diamond"/>
        <s v="Sharkcoin"/>
        <s v="Quotient"/>
        <s v="MobileCash"/>
        <s v="Bankcoin"/>
        <s v="First Bitcoin Capital"/>
        <s v="Bitok"/>
        <s v="Masternodecoin"/>
        <s v="Aseancoin"/>
        <s v="GoldMaxCoin"/>
        <s v="Tellurion"/>
        <s v="Peacecoin"/>
        <s v="President Johnson"/>
        <s v="Wink"/>
        <s v="RabbitCoin"/>
        <s v="PeepCoin"/>
        <s v="UNCoin"/>
        <s v="BitCentavo"/>
        <s v="IrishCoin"/>
        <s v="LePen"/>
        <s v="TeslaCoilCoin"/>
        <s v="BestChain"/>
        <s v="UniversalRoyalCoin"/>
        <s v="Nexxus"/>
        <s v="Animecoin"/>
        <s v="Fazzcoin"/>
        <s v="Safe Trade Coin"/>
        <s v="Cycling Coin"/>
        <s v="UR"/>
        <s v="Primulon"/>
        <s v="Ethereum Movie Venture"/>
        <s v="Motocoin"/>
        <s v="FrankyWillCoin"/>
        <s v="Pirate Blocks"/>
        <s v="BlazerCoin"/>
        <s v="RichCoin"/>
        <s v="The Vegan Initiative"/>
        <s v="SportsCoin"/>
        <s v="Excelcoin"/>
        <s v="Donationcoin"/>
        <s v="OCOW"/>
        <s v="Dashs"/>
        <s v="Alphabit"/>
        <s v="XDE II"/>
        <s v="Wowcoin"/>
        <s v="Aces"/>
        <s v="Qora"/>
        <s v="GAY Money"/>
        <s v="VegasCoin"/>
        <s v="Hyper"/>
        <s v="Bitgem"/>
        <s v="BitAlphaCoin"/>
        <s v="Protean"/>
        <s v="UtaCoin"/>
        <s v="ZenGold"/>
        <s v="Topaz Coin"/>
        <s v="EDRCoin"/>
        <s v="Golfcoin"/>
        <s v="Royalties"/>
        <s v="ZSEcoin"/>
        <s v="Cheapcoin"/>
        <s v="Granite"/>
        <s v="SoulCoin"/>
        <s v="CyberCoin"/>
        <s v="TopCoin"/>
        <s v="First Bitcoin"/>
        <s v="MMXVI"/>
        <s v="Digital Bullion Gold"/>
        <s v="Operand"/>
        <s v="Bitcedi"/>
        <s v="Fonziecoin"/>
        <s v="GameLeagueCoin"/>
        <s v="UGAIN"/>
        <s v="PinkDog"/>
        <s v="Happy Creator Coin"/>
        <s v="Quebecoin"/>
        <s v="Axiom"/>
        <s v="Antimatter"/>
        <s v="Clinton"/>
        <s v="Dubstep"/>
        <s v="Psilocybin"/>
        <s v="InvisibleCoin"/>
        <s v="Omicron"/>
        <s v="Blockchain Index"/>
        <s v="Skeincoin"/>
        <s v="Xaucoin"/>
        <s v="netBit"/>
        <s v="SHACoin"/>
        <s v="DarkLisk"/>
        <s v="Karmacoin"/>
        <s v="X2"/>
        <s v="Elacoin"/>
        <s v="Cubits"/>
        <s v="microCoin"/>
        <s v="PrismChain"/>
        <s v="EggCoin"/>
        <s v="Victoriouscoin"/>
        <s v="SafeCoin"/>
        <s v="Sync"/>
        <s v="Neptune Classic"/>
        <s v="Rcoin"/>
        <s v="Cashme"/>
        <s v="Opescoin"/>
        <s v="DeltaCredits"/>
        <s v="MIYUCoin"/>
        <s v="SuperTurboStake"/>
        <s v="Mavro"/>
        <s v="WeAreSatoshi"/>
        <s v="AMIS"/>
        <s v="CBD Crystals"/>
        <s v="KashhCoin"/>
        <s v="TrickyCoin"/>
        <s v="Lazaruscoin"/>
        <s v="Bongger"/>
        <s v="PokeCoin"/>
        <s v="Internet of Things"/>
        <s v="AxFunds"/>
        <s v="LAthaan"/>
        <s v="LinkedCoin"/>
        <s v="Moneta"/>
        <s v="TeamUp"/>
        <s v="ShellCoin"/>
        <s v="BagCoin"/>
        <s v="FedoraShare"/>
        <s v="Digitalfund"/>
        <s v="FiboCoins"/>
      </sharedItems>
    </cacheField>
    <cacheField name="Coin.symbol" numFmtId="0">
      <sharedItems/>
    </cacheField>
    <cacheField name="Coin.rank" numFmtId="0">
      <sharedItems/>
    </cacheField>
    <cacheField name="Coin.price_usd" numFmtId="0">
      <sharedItems/>
    </cacheField>
    <cacheField name="Coin.price_btc" numFmtId="0">
      <sharedItems/>
    </cacheField>
    <cacheField name="Coin.24h_volume_usd" numFmtId="0">
      <sharedItems containsBlank="1" count="1082">
        <s v="1062450000.0"/>
        <s v="401564000.0"/>
        <s v="162123000.0"/>
        <s v="149891000.0"/>
        <s v="62305800.0"/>
        <s v="28965100.0"/>
        <s v="4979400.0"/>
        <s v="49077100.0"/>
        <s v="13521100.0"/>
        <s v="23838600.0"/>
        <s v="24538100.0"/>
        <s v="10778500.0"/>
        <s v="13739300.0"/>
        <s v="23991200.0"/>
        <s v="7512320.0"/>
        <s v="30460400.0"/>
        <s v="6598500.0"/>
        <s v="7759300.0"/>
        <s v="91904600.0"/>
        <s v="3842950.0"/>
        <s v="27616500.0"/>
        <s v="964524.0"/>
        <s v="1344460.0"/>
        <s v="3728890.0"/>
        <s v="21776300.0"/>
        <s v="1418720.0"/>
        <s v="1163040.0"/>
        <s v="6428290.0"/>
        <s v="945153.0"/>
        <s v="2782600.0"/>
        <s v="1627540.0"/>
        <s v="1425240.0"/>
        <s v="1318060.0"/>
        <s v="2621080.0"/>
        <s v="9051640.0"/>
        <s v="1551130.0"/>
        <s v="751908.0"/>
        <s v="1571100.0"/>
        <s v="2318330.0"/>
        <s v="450834.0"/>
        <s v="500236.0"/>
        <s v="12894200.0"/>
        <s v="2085260.0"/>
        <s v="1432250.0"/>
        <s v="4692590.0"/>
        <s v="6757930.0"/>
        <s v="129097.0"/>
        <s v="1884130.0"/>
        <s v="1246290.0"/>
        <s v="361782.0"/>
        <s v="413507.0"/>
        <s v="3237610.0"/>
        <s v="102299.0"/>
        <s v="1263810.0"/>
        <s v="1499980.0"/>
        <s v="1303210.0"/>
        <s v="43670.2"/>
        <s v="320143.0"/>
        <s v="215931.0"/>
        <s v="1122750.0"/>
        <s v="1176850.0"/>
        <s v="448336.0"/>
        <s v="1284720.0"/>
        <s v="1537260.0"/>
        <s v="371505.0"/>
        <s v="1447020.0"/>
        <s v="219305.0"/>
        <s v="2495020.0"/>
        <s v="461269.0"/>
        <s v="115115.0"/>
        <s v="2721.97"/>
        <s v="574791.0"/>
        <s v="476960.0"/>
        <s v="470461.0"/>
        <s v="163062.0"/>
        <s v="1827510.0"/>
        <s v="3924130.0"/>
        <s v="100150.0"/>
        <s v="3834700.0"/>
        <s v="257058.0"/>
        <s v="3037690.0"/>
        <s v="1892190.0"/>
        <s v="204509.0"/>
        <s v="167395.0"/>
        <s v="488793.0"/>
        <s v="2055110.0"/>
        <s v="237395.0"/>
        <s v="3541930.0"/>
        <s v="982653.0"/>
        <s v="111598.0"/>
        <s v="1308430.0"/>
        <s v="474730.0"/>
        <s v="220874.0"/>
        <s v="274534.0"/>
        <s v="832961.0"/>
        <s v="310876.0"/>
        <s v="282002.0"/>
        <s v="221189.0"/>
        <s v="102563.0"/>
        <s v="410388.0"/>
        <s v="20789.3"/>
        <s v="521357.0"/>
        <s v="395531.0"/>
        <s v="2342210.0"/>
        <s v="1702170.0"/>
        <s v="588580.0"/>
        <s v="519481.0"/>
        <s v="390532.0"/>
        <s v="197622.0"/>
        <s v="268567.0"/>
        <s v="401251.0"/>
        <s v="1408440.0"/>
        <s v="26350.8"/>
        <s v="26619.3"/>
        <s v="283954.0"/>
        <s v="435633.0"/>
        <s v="322435.0"/>
        <s v="303142.0"/>
        <s v="460646.0"/>
        <s v="267928.0"/>
        <s v="234038.0"/>
        <s v="515387.0"/>
        <s v="47901.0"/>
        <s v="949483.0"/>
        <s v="498301.0"/>
        <s v="511494.0"/>
        <s v="297811.0"/>
        <s v="699211.0"/>
        <s v="796002.0"/>
        <s v="63659.3"/>
        <s v="278286.0"/>
        <s v="734141.0"/>
        <s v="121153.0"/>
        <s v="313075.0"/>
        <s v="20397.2"/>
        <s v="82836.6"/>
        <s v="962364.0"/>
        <s v="84600.4"/>
        <s v="70971.6"/>
        <s v="9059.67"/>
        <s v="500805.0"/>
        <s v="458719.0"/>
        <s v="150227.0"/>
        <s v="28000.9"/>
        <s v="26085.9"/>
        <s v="1663770.0"/>
        <s v="81308.9"/>
        <s v="188527.0"/>
        <s v="114967.0"/>
        <s v="60971.9"/>
        <s v="122187.0"/>
        <s v="115227.0"/>
        <s v="67204.5"/>
        <s v="60651.2"/>
        <s v="1849.83"/>
        <s v="178129.0"/>
        <s v="5789700.0"/>
        <s v="992272.0"/>
        <s v="16567.7"/>
        <s v="8144.41"/>
        <s v="203040.0"/>
        <s v="97958.2"/>
        <s v="82166.9"/>
        <s v="119696.0"/>
        <s v="540831.0"/>
        <s v="394542.0"/>
        <s v="343483.0"/>
        <s v="23457.1"/>
        <s v="341672.0"/>
        <s v="5323.87"/>
        <s v="359663.0"/>
        <s v="35082.1"/>
        <s v="729272.0"/>
        <s v="1141080.0"/>
        <s v="247980.0"/>
        <s v="42391.7"/>
        <s v="779496.0"/>
        <s v="147337.0"/>
        <s v="217185.0"/>
        <s v="7615.47"/>
        <s v="153313.0"/>
        <s v="212635.0"/>
        <s v="47375.5"/>
        <s v="634545.0"/>
        <s v="2984430.0"/>
        <s v="356473.0"/>
        <s v="95523.4"/>
        <s v="129385.0"/>
        <s v="330430.0"/>
        <s v="20835.2"/>
        <s v="417850.0"/>
        <s v="131018.0"/>
        <s v="27824.5"/>
        <s v="501144.0"/>
        <s v="17773.1"/>
        <s v="55073.0"/>
        <s v="24600.9"/>
        <s v="13165.3"/>
        <s v="73370.8"/>
        <s v="152058.0"/>
        <s v="55387.5"/>
        <s v="13935.2"/>
        <s v="58487.7"/>
        <s v="34563.8"/>
        <s v="56042.8"/>
        <s v="1292.99"/>
        <s v="8141.11"/>
        <s v="20496.9"/>
        <s v="16449.4"/>
        <s v="7750.24"/>
        <s v="117355.0"/>
        <s v="16258.8"/>
        <s v="9503.34"/>
        <s v="17786.8"/>
        <s v="215860.0"/>
        <s v="6155.84"/>
        <s v="61432.6"/>
        <s v="128452.0"/>
        <s v="77347.6"/>
        <s v="263238.0"/>
        <s v="555.885"/>
        <s v="52683.4"/>
        <s v="29509.3"/>
        <s v="98370.3"/>
        <s v="18613.9"/>
        <s v="587545.0"/>
        <s v="60164.5"/>
        <s v="72531.9"/>
        <s v="127303.0"/>
        <s v="529825.0"/>
        <s v="111852.0"/>
        <s v="66387.1"/>
        <s v="72113.0"/>
        <s v="1960.36"/>
        <s v="2314.12"/>
        <s v="1839600.0"/>
        <s v="22038.1"/>
        <s v="3505.72"/>
        <s v="6799.19"/>
        <s v="82891.0"/>
        <s v="26342.9"/>
        <s v="9416.25"/>
        <s v="69046.2"/>
        <s v="1282620.0"/>
        <s v="245375.0"/>
        <s v="43251.2"/>
        <s v="90333.2"/>
        <s v="2050.18"/>
        <s v="48737.0"/>
        <s v="49978.7"/>
        <s v="48442.2"/>
        <s v="5687.4"/>
        <s v="6533360.0"/>
        <s v="118031.0"/>
        <s v="118347.0"/>
        <s v="7357.82"/>
        <s v="56519.0"/>
        <s v="91724.3"/>
        <s v="46749.4"/>
        <s v="34407.0"/>
        <s v="4882.79"/>
        <s v="24794.4"/>
        <s v="9924.87"/>
        <s v="71276.6"/>
        <s v="291960.0"/>
        <s v="7865.94"/>
        <s v="167954.0"/>
        <s v="26130.7"/>
        <s v="90705.1"/>
        <s v="38150.1"/>
        <s v="467654.0"/>
        <s v="3963.59"/>
        <s v="48717.3"/>
        <s v="7745.33"/>
        <s v="7720.08"/>
        <s v="4844.69"/>
        <s v="38737.2"/>
        <s v="19838.8"/>
        <s v="2466000.0"/>
        <s v="37687.4"/>
        <s v="55993.1"/>
        <s v="19096.1"/>
        <s v="41990.0"/>
        <s v="7744.31"/>
        <s v="179030.0"/>
        <s v="23809.7"/>
        <s v="34328.3"/>
        <s v="27246.1"/>
        <s v="28265.9"/>
        <s v="27055.9"/>
        <s v="39835.8"/>
        <s v="21891.9"/>
        <s v="9626.28"/>
        <s v="14284.0"/>
        <s v="29347.9"/>
        <s v="90640.7"/>
        <s v="10600.3"/>
        <s v="115005.0"/>
        <s v="63177.5"/>
        <s v="18792.5"/>
        <s v="9639.76"/>
        <s v="93424.4"/>
        <s v="21262.0"/>
        <s v="46224.2"/>
        <s v="18376.2"/>
        <s v="18083.0"/>
        <s v="6578.56"/>
        <s v="10337.6"/>
        <s v="8918.52"/>
        <s v="6763.94"/>
        <s v="35543.2"/>
        <s v="17038.5"/>
        <s v="18141.2"/>
        <s v="43060.8"/>
        <s v="2057.1"/>
        <s v="45287.4"/>
        <s v="73250.7"/>
        <s v="9005.03"/>
        <s v="44363.4"/>
        <s v="20613.1"/>
        <s v="8205.48"/>
        <s v="35050.5"/>
        <s v="9649.36"/>
        <s v="103597.0"/>
        <s v="47952.7"/>
        <s v="4307.3"/>
        <s v="127698.0"/>
        <s v="43095.0"/>
        <s v="28320.5"/>
        <s v="487549.0"/>
        <s v="14412.0"/>
        <s v="132833.0"/>
        <s v="4395.5"/>
        <s v="6927.52"/>
        <s v="215782.0"/>
        <s v="17756.5"/>
        <s v="930671.0"/>
        <s v="2289.03"/>
        <s v="66959.1"/>
        <s v="52270.6"/>
        <s v="10743.0"/>
        <s v="11358.9"/>
        <s v="36469.2"/>
        <s v="1840.16"/>
        <s v="14732.9"/>
        <s v="35435.1"/>
        <s v="27026.4"/>
        <s v="132363.0"/>
        <s v="76367.5"/>
        <s v="13244.2"/>
        <s v="1453.95"/>
        <s v="1296.75"/>
        <s v="15101.3"/>
        <s v="34864.9"/>
        <s v="30519.5"/>
        <s v="23308.0"/>
        <s v="2872.87"/>
        <s v="2016.4"/>
        <s v="5939.27"/>
        <s v="132637.0"/>
        <s v="116147.0"/>
        <s v="77264.4"/>
        <s v="150518.0"/>
        <s v="301985.0"/>
        <s v="39237.4"/>
        <s v="1261.11"/>
        <s v="411927.0"/>
        <s v="60382.8"/>
        <s v="59589.8"/>
        <s v="9712.01"/>
        <s v="18260.7"/>
        <s v="23476.0"/>
        <s v="8078.44"/>
        <s v="1582.98"/>
        <s v="2073.23"/>
        <s v="103480.0"/>
        <s v="130008.0"/>
        <s v="707.558"/>
        <s v="1923.77"/>
        <s v="75234.8"/>
        <s v="35808.6"/>
        <s v="3412.25"/>
        <s v="80952.3"/>
        <s v="66245.0"/>
        <s v="24072.8"/>
        <s v="630.85"/>
        <s v="22245.7"/>
        <s v="12361.4"/>
        <s v="36950.2"/>
        <s v="2398.05"/>
        <s v="2656.42"/>
        <s v="18613.2"/>
        <s v="378535.0"/>
        <s v="5243.43"/>
        <s v="5685.76"/>
        <s v="1985.81"/>
        <s v="6834.06"/>
        <s v="19343.1"/>
        <s v="5859.02"/>
        <s v="18625.0"/>
        <s v="43668.1"/>
        <s v="10761.7"/>
        <s v="40050.9"/>
        <s v="21784.6"/>
        <s v="1056.5"/>
        <s v="952.669"/>
        <s v="21768.2"/>
        <s v="68054.9"/>
        <s v="1135.72"/>
        <s v="86420.8"/>
        <s v="6507.43"/>
        <s v="1554.76"/>
        <s v="28539.0"/>
        <s v="9967.6"/>
        <s v="30382.0"/>
        <s v="26269.4"/>
        <s v="436202.0"/>
        <s v="24602.7"/>
        <s v="19239.3"/>
        <s v="933.669"/>
        <s v="56956.6"/>
        <s v="7739.57"/>
        <s v="6030.21"/>
        <s v="593.275"/>
        <s v="1938.91"/>
        <s v="887.368"/>
        <s v="4885.23"/>
        <s v="223359.0"/>
        <s v="1920.27"/>
        <s v="60044.0"/>
        <s v="852.779"/>
        <s v="628.645"/>
        <s v="93643.9"/>
        <s v="28153.2"/>
        <s v="2910.43"/>
        <s v="1271.9"/>
        <s v="2528.34"/>
        <s v="508.087"/>
        <s v="3343.57"/>
        <s v="1119.56"/>
        <s v="1365.6"/>
        <s v="513.571"/>
        <s v="1913.86"/>
        <s v="4873.64"/>
        <s v="833.516"/>
        <s v="688.198"/>
        <s v="685.529"/>
        <s v="3891.62"/>
        <s v="1869.33"/>
        <s v="13712.5"/>
        <s v="1305.55"/>
        <s v="636.371"/>
        <s v="1315.87"/>
        <s v="19229.2"/>
        <s v="12074.4"/>
        <s v="554.134"/>
        <s v="6008.11"/>
        <s v="10124.4"/>
        <s v="19571.6"/>
        <s v="2882.94"/>
        <s v="1444.27"/>
        <s v="10021.0"/>
        <s v="1317.14"/>
        <s v="1027.88"/>
        <s v="2436.07"/>
        <s v="896.742"/>
        <s v="15311.7"/>
        <s v="6139.81"/>
        <s v="289158.0"/>
        <s v="656.768"/>
        <s v="17140.1"/>
        <s v="11012.1"/>
        <s v="3292.86"/>
        <s v="681.186"/>
        <s v="925.084"/>
        <s v="6086.29"/>
        <s v="1081.89"/>
        <s v="11610.5"/>
        <s v="11681.7"/>
        <s v="46637.5"/>
        <s v="1055.76"/>
        <s v="3328.91"/>
        <s v="73132.1"/>
        <s v="4157.68"/>
        <s v="5796.27"/>
        <s v="1967.79"/>
        <s v="570.891"/>
        <s v="1287.08"/>
        <s v="723.161"/>
        <s v="56565.2"/>
        <s v="1180.41"/>
        <s v="2722.87"/>
        <s v="5677.29"/>
        <s v="1085.51"/>
        <s v="2880.66"/>
        <s v="1281.18"/>
        <s v="3524.93"/>
        <s v="3127.66"/>
        <s v="10669.9"/>
        <s v="510.344"/>
        <s v="2142.85"/>
        <s v="2295.04"/>
        <s v="703.691"/>
        <s v="105725.0"/>
        <s v="4917.02"/>
        <s v="1917.15"/>
        <s v="81894.1"/>
        <s v="21523.0"/>
        <s v="20429.8"/>
        <s v="7633.87"/>
        <s v="1498.78"/>
        <s v="1789.45"/>
        <s v="5408.08"/>
        <s v="589.215"/>
        <s v="5947.31"/>
        <s v="1391.19"/>
        <s v="6302.34"/>
        <s v="978.948"/>
        <s v="1917.25"/>
        <s v="3810.36"/>
        <s v="8410.32"/>
        <s v="609.449"/>
        <s v="1666.93"/>
        <s v="5104.04"/>
        <s v="3701.48"/>
        <s v="730.16"/>
        <s v="579.271"/>
        <s v="2219.78"/>
        <s v="64451.0"/>
        <s v="4072.7"/>
        <s v="634.535"/>
        <s v="4195.34"/>
        <s v="4132.65"/>
        <s v="745.198"/>
        <s v="624.371"/>
        <s v="1417.89"/>
        <s v="764.415"/>
        <s v="852.602"/>
        <s v="664.129"/>
        <s v="527.535"/>
        <s v="1670.62"/>
        <s v="1116.19"/>
        <s v="607.237"/>
        <s v="685.124"/>
        <s v="4592.1"/>
        <s v="4908.33"/>
        <s v="1405.03"/>
        <s v="726.013"/>
        <s v="3039.88"/>
        <s v="686.27"/>
        <s v="602.646"/>
        <s v="1129.32"/>
        <s v="34906.4"/>
        <s v="792.246"/>
        <s v="843.671"/>
        <s v="1522.05"/>
        <s v="739.235"/>
        <s v="1057.07"/>
        <s v="11119.0"/>
        <s v="694.666"/>
        <s v="1598.97"/>
        <s v="1082.39"/>
        <s v="2481.22"/>
        <s v="988.46"/>
        <s v="598.446"/>
        <s v="826.729"/>
        <s v="1680.95"/>
        <s v="1421.32"/>
        <s v="5730.08"/>
        <s v="5670.07"/>
        <s v="1201.49"/>
        <s v="1084.32"/>
        <s v="14089.6"/>
        <s v="642.897"/>
        <s v="107853.0"/>
        <s v="33073.7"/>
        <m/>
        <s v="43.0736"/>
        <s v="78.3887"/>
        <s v="23.8664"/>
        <s v="90.6075"/>
        <s v="155.974"/>
        <s v="168.011"/>
        <s v="420.55"/>
        <s v="299.92"/>
        <s v="140.725"/>
        <s v="209.75"/>
        <s v="59.6071"/>
        <s v="370.833"/>
        <s v="382.874"/>
        <s v="101.218"/>
        <s v="400.947"/>
        <s v="284.568"/>
        <s v="4.97276"/>
        <s v="8.15212"/>
        <s v="290.034"/>
        <s v="317.1"/>
        <s v="464.346"/>
        <s v="67.8708"/>
        <s v="0.638174"/>
        <s v="70.758"/>
        <s v="359.488"/>
        <s v="271.979"/>
        <s v="0.656513"/>
        <s v="10.8016"/>
        <s v="35.1389"/>
        <s v="76.0597"/>
        <s v="1.29013"/>
        <s v="206.71"/>
        <s v="101.881"/>
        <s v="192.578"/>
        <s v="113.342"/>
        <s v="381.362"/>
        <s v="1.08634"/>
        <s v="114.66"/>
        <s v="0.33842"/>
        <s v="179.644"/>
        <s v="418.915"/>
        <s v="179.187"/>
        <s v="56.7525"/>
        <s v="149.68"/>
        <s v="54.1149"/>
        <s v="15.9577"/>
        <s v="397.211"/>
        <s v="383.941"/>
        <s v="31.4484"/>
        <s v="20.8706"/>
        <s v="9.89632"/>
        <s v="286.949"/>
        <s v="6.54881"/>
        <s v="47.5713"/>
        <s v="24.8562"/>
        <s v="212.88"/>
        <s v="279.708"/>
        <s v="83.6415"/>
        <s v="109.194"/>
        <s v="184.751"/>
        <s v="86.12"/>
        <s v="2.04754"/>
        <s v="141.389"/>
        <s v="27.2359"/>
        <s v="410.465"/>
        <s v="7.9199"/>
        <s v="0.607534"/>
        <s v="116.905"/>
        <s v="141.909"/>
        <s v="252.863"/>
        <s v="5.06788"/>
        <s v="65.06"/>
        <s v="159.779"/>
        <s v="261.882"/>
        <s v="210.098"/>
        <s v="422.1"/>
        <s v="15.273"/>
        <s v="103.226"/>
        <s v="26.1834"/>
        <s v="127.677"/>
        <s v="0.87541"/>
        <s v="137.054"/>
        <s v="328.375"/>
        <s v="77.158"/>
        <s v="9.55771"/>
        <s v="6.42963"/>
        <s v="62.0355"/>
        <s v="21.1952"/>
        <s v="80.0864"/>
        <s v="15.7773"/>
        <s v="172.803"/>
        <s v="492.37"/>
        <s v="407.513"/>
        <s v="12.5779"/>
        <s v="406.335"/>
        <s v="315.025"/>
        <s v="423.143"/>
        <s v="485.338"/>
        <s v="396.688"/>
        <s v="129.306"/>
        <s v="201.381"/>
        <s v="34.7149"/>
        <s v="151.542"/>
        <s v="19.1642"/>
        <s v="231.984"/>
        <s v="91.4501"/>
        <s v="431.674"/>
        <s v="6.07105"/>
        <s v="13.0127"/>
        <s v="83.243"/>
        <s v="221.016"/>
        <s v="63.4819"/>
        <s v="331.876"/>
        <s v="1.09127"/>
        <s v="5.60774"/>
        <s v="213.119"/>
        <s v="289.226"/>
        <s v="166.612"/>
        <s v="44.2195"/>
        <s v="457.905"/>
        <s v="147.389"/>
        <s v="23.9579"/>
        <s v="6.87445"/>
        <s v="8.31639"/>
        <s v="167.68"/>
        <s v="297.565"/>
        <s v="234.14"/>
        <s v="453.897"/>
        <s v="8.85717"/>
        <s v="3.12726"/>
        <s v="333.163"/>
        <s v="193.62"/>
        <s v="79.0345"/>
        <s v="35.4175"/>
        <s v="272.492"/>
        <s v="4.30434"/>
        <s v="20.3598"/>
        <s v="221.433"/>
        <s v="4.51894"/>
        <s v="130.387"/>
        <s v="51.5693"/>
        <s v="2.18533"/>
        <s v="62.7841"/>
        <s v="7.42377"/>
        <s v="344.047"/>
        <s v="292.529"/>
        <s v="150.46"/>
        <s v="56.145"/>
        <s v="14.0682"/>
        <s v="16.4995"/>
        <s v="149.363"/>
        <s v="2.2997"/>
        <s v="83.5388"/>
        <s v="26.2654"/>
        <s v="22.4938"/>
        <s v="404.328"/>
        <s v="14.0028"/>
        <s v="143.438"/>
        <s v="34.1193"/>
        <s v="5.48821"/>
        <s v="7.01116"/>
        <s v="239.507"/>
        <s v="47.4619"/>
        <s v="102.256"/>
        <s v="84.8463"/>
        <s v="9.35915"/>
        <s v="50.3078"/>
        <s v="11.7304"/>
        <s v="56.6701"/>
        <s v="1.12928"/>
        <s v="396.66"/>
        <s v="216.625"/>
        <s v="1.0173"/>
        <s v="195.884"/>
        <s v="12.1733"/>
        <s v="107.091"/>
        <s v="26.4253"/>
        <s v="6.44341"/>
        <s v="134.39"/>
        <s v="176.292"/>
        <s v="5.5922"/>
        <s v="16.9914"/>
        <s v="2.79558"/>
        <s v="3.88896"/>
        <s v="455.618"/>
        <s v="3.0012"/>
        <s v="1.71138"/>
        <s v="376.386"/>
        <s v="35.0639"/>
        <s v="245.716"/>
        <s v="6.76856"/>
        <s v="4.83011"/>
        <s v="50.6589"/>
        <s v="0.34513"/>
        <s v="72.7085"/>
        <s v="0.779421"/>
        <s v="129.635"/>
        <s v="65.3928"/>
        <s v="8.7658"/>
        <s v="0.0210098"/>
        <s v="423.454"/>
        <s v="68.9331"/>
        <s v="11.2206"/>
        <s v="17.0885"/>
        <s v="2.39946"/>
        <s v="1.62256"/>
        <s v="10.3906"/>
        <s v="27.7809"/>
        <s v="266.065"/>
        <s v="492.384"/>
        <s v="2.28688"/>
        <s v="28.9229"/>
        <s v="6.69023"/>
        <s v="1.24483"/>
        <s v="13.5847"/>
        <s v="438.312"/>
        <s v="2.2212"/>
        <s v="72.9612"/>
        <s v="131.67"/>
        <s v="14.7383"/>
        <s v="15.0525"/>
        <s v="109.058"/>
        <s v="181.721"/>
        <s v="46.922"/>
        <s v="9.58679"/>
        <s v="0.306342"/>
        <s v="38.7212"/>
        <s v="284.508"/>
        <s v="1.61355"/>
        <s v="188.879"/>
        <s v="22.4798"/>
        <s v="47.9023"/>
        <s v="4.94492"/>
        <s v="393.225"/>
        <s v="25.0364"/>
        <s v="465.301"/>
        <s v="4.89792"/>
        <s v="114.337"/>
        <s v="15.7057"/>
        <s v="42.8955"/>
        <s v="1.02169"/>
        <s v="69.2073"/>
        <s v="107.374"/>
        <s v="239.896"/>
        <s v="77.1617"/>
        <s v="19.361"/>
        <s v="25.7933"/>
        <s v="3.63794"/>
        <s v="28.1881"/>
        <s v="9.55711"/>
        <s v="19.2442"/>
        <s v="81.3986"/>
        <s v="60.9776"/>
        <s v="18.3829"/>
        <s v="0.437705"/>
        <s v="16.6687"/>
        <s v="317.266"/>
        <s v="21.2022"/>
        <s v="14.544"/>
        <s v="0.285734"/>
        <s v="205.804"/>
        <s v="3.21455"/>
        <s v="2.12352"/>
        <s v="3.93926"/>
        <s v="124.85"/>
        <s v="84.6762"/>
        <s v="4.47439"/>
        <s v="1.89076"/>
        <s v="9.44064"/>
        <s v="7.25938"/>
        <s v="19.2514"/>
        <s v="0.0626402"/>
        <s v="20.578"/>
        <s v="11.585"/>
        <s v="19.1038"/>
        <s v="47.4272"/>
        <s v="15.4496"/>
        <s v="15.5288"/>
        <s v="20.898"/>
        <s v="23.6973"/>
        <s v="50.8518"/>
        <s v="10.4968"/>
        <s v="428.951"/>
        <s v="234.979"/>
        <s v="324.901"/>
        <s v="74.4098"/>
        <s v="25.8619"/>
        <s v="89.1223"/>
        <s v="2.90089"/>
        <s v="1.03801"/>
        <s v="459.26"/>
        <s v="29.6901"/>
        <s v="0.000534862"/>
        <s v="92.3913"/>
        <s v="1416000.0"/>
        <s v="1018950.0"/>
        <s v="581000.0"/>
        <s v="432014.0"/>
        <s v="364402.0"/>
        <s v="279171.0"/>
        <s v="178086.0"/>
        <s v="111591.0"/>
        <s v="86106.5"/>
        <s v="85787.2"/>
        <s v="78935.2"/>
        <s v="75446.6"/>
        <s v="72386.3"/>
        <s v="65483.6"/>
        <s v="63453.0"/>
        <s v="59091.6"/>
        <s v="57313.4"/>
        <s v="54096.0"/>
        <s v="47124.8"/>
        <s v="45595.0"/>
        <s v="36922.0"/>
        <s v="35996.4"/>
        <s v="35318.4"/>
        <s v="31506.3"/>
        <s v="31055.5"/>
        <s v="27967.2"/>
        <s v="27856.4"/>
        <s v="26713.1"/>
        <s v="26334.0"/>
        <s v="26173.1"/>
        <s v="25908.9"/>
        <s v="25726.3"/>
        <s v="25210.4"/>
        <s v="23074.9"/>
        <s v="21997.2"/>
        <s v="21962.2"/>
        <s v="21055.5"/>
        <s v="15713.9"/>
        <s v="15679.0"/>
        <s v="15008.9"/>
        <s v="13671.8"/>
        <s v="9765.19"/>
        <s v="9076.37"/>
        <s v="8681.8"/>
        <s v="8576.32"/>
        <s v="6876.02"/>
        <s v="6596.53"/>
        <s v="5804.94"/>
        <s v="5649.65"/>
        <s v="4742.18"/>
        <s v="4577.38"/>
        <s v="4052.66"/>
        <s v="3988.96"/>
        <s v="3710.65"/>
        <s v="2849.1"/>
        <s v="2751.85"/>
        <s v="2393.73"/>
        <s v="2358.72"/>
        <s v="2261.99"/>
        <s v="2078.3"/>
        <s v="1737.15"/>
        <s v="1693.92"/>
        <s v="1657.8"/>
        <s v="1571.76"/>
        <s v="1540.72"/>
        <s v="1455.36"/>
        <s v="1405.59"/>
        <s v="1333.56"/>
        <s v="1276.54"/>
        <s v="1235.03"/>
        <s v="1207.5"/>
        <s v="1173.54"/>
        <s v="1116.02"/>
        <s v="1100.48"/>
        <s v="950.081"/>
        <s v="934.746"/>
        <s v="765.083"/>
        <s v="762.159"/>
        <s v="699.187"/>
        <s v="690.937"/>
        <s v="651.809"/>
        <s v="640.776"/>
        <s v="596.914"/>
        <s v="548.389"/>
        <s v="520.905"/>
        <s v="490.026"/>
        <s v="472.721"/>
        <s v="396.428"/>
        <s v="384.515"/>
        <s v="352.19"/>
        <s v="319.719"/>
        <s v="305.312"/>
        <s v="304.273"/>
        <s v="300.766"/>
        <s v="294.129"/>
        <s v="286.518"/>
        <s v="279.827"/>
        <s v="275.754"/>
        <s v="257.027"/>
        <s v="256.524"/>
        <s v="255.25"/>
        <s v="248.27"/>
        <s v="236.533"/>
        <s v="235.994"/>
        <s v="233.801"/>
        <s v="207.027"/>
        <s v="173.169"/>
        <s v="171.086"/>
        <s v="170.589"/>
        <s v="168.68"/>
        <s v="166.41"/>
        <s v="140.346"/>
        <s v="140.066"/>
        <s v="136.498"/>
        <s v="122.338"/>
        <s v="120.831"/>
        <s v="119.255"/>
        <s v="117.367"/>
        <s v="111.138"/>
        <s v="109.388"/>
        <s v="105.807"/>
        <s v="104.379"/>
        <s v="102.666"/>
        <s v="91.7568"/>
        <s v="89.4074"/>
        <s v="78.4697"/>
        <s v="76.8857"/>
        <s v="71.8053"/>
        <s v="71.2912"/>
        <s v="69.0052"/>
        <s v="64.4005"/>
        <s v="62.0445"/>
        <s v="61.2114"/>
        <s v="60.5962"/>
        <s v="54.8153"/>
        <s v="53.7765"/>
        <s v="52.327"/>
        <s v="51.996"/>
        <s v="48.1826"/>
        <s v="42.7133"/>
        <s v="41.9266"/>
        <s v="41.374"/>
        <s v="40.4544"/>
        <s v="38.857"/>
        <s v="38.4586"/>
        <s v="38.331"/>
        <s v="34.3318"/>
        <s v="31.2117"/>
        <s v="30.8606"/>
        <s v="29.9104"/>
        <s v="28.1217"/>
        <s v="27.2386"/>
        <s v="26.2623"/>
        <s v="26.1977"/>
        <s v="26.1862"/>
        <s v="24.9186"/>
        <s v="23.8568"/>
        <s v="22.6269"/>
        <s v="21.826"/>
        <s v="21.4914"/>
        <s v="18.5861"/>
        <s v="18.3726"/>
        <s v="17.5121"/>
        <s v="16.051"/>
        <s v="15.891"/>
        <s v="15.5932"/>
        <s v="14.1175"/>
        <s v="13.9429"/>
        <s v="12.5234"/>
        <s v="8.7541"/>
        <s v="7.00446"/>
        <s v="6.68331"/>
        <s v="6.04932"/>
        <s v="5.79624"/>
        <s v="5.25246"/>
        <s v="5.0471"/>
        <s v="4.81475"/>
        <s v="4.36659"/>
        <s v="4.10281"/>
        <s v="4.09591"/>
        <s v="3.82121"/>
        <s v="3.71804"/>
        <s v="3.63199"/>
        <s v="3.44568"/>
        <s v="3.27297"/>
        <s v="3.19419"/>
        <s v="2.98642"/>
        <s v="2.6988"/>
        <s v="2.65074"/>
        <s v="2.47238"/>
        <s v="2.42445"/>
        <s v="2.18852"/>
        <s v="1.96074"/>
        <s v="1.86445"/>
        <s v="1.74447"/>
        <s v="1.70258"/>
        <s v="1.61981"/>
        <s v="1.53834"/>
        <s v="1.50494"/>
        <s v="1.45905"/>
        <s v="1.22557"/>
        <s v="1.0894"/>
        <s v="0.937257"/>
        <s v="0.871996"/>
        <s v="0.807916"/>
        <s v="0.73833"/>
        <s v="0.645891"/>
        <s v="0.461341"/>
        <s v="0.443176"/>
        <s v="0.439806"/>
        <s v="0.438143"/>
      </sharedItems>
    </cacheField>
    <cacheField name="Coin.market_cap_usd" numFmtId="0">
      <sharedItems containsString="0" containsBlank="1" containsNumber="1" containsInteger="1" minValue="88" maxValue="72664034404" count="906">
        <n v="72664034404"/>
        <n v="29278641125"/>
        <n v="9115795921"/>
        <n v="6050528286"/>
        <n v="2768193863"/>
        <n v="2388680038"/>
        <n v="1890675000"/>
        <n v="1708815000"/>
        <n v="1425757279"/>
        <n v="1379743182"/>
        <n v="1174395048"/>
        <n v="983922596"/>
        <n v="843480790"/>
        <n v="686264400"/>
        <n v="602701098"/>
        <n v="599009549"/>
        <n v="500279000"/>
        <n v="463015996"/>
        <n v="437472410"/>
        <n v="362964821"/>
        <n v="333125379"/>
        <n v="299604861"/>
        <n v="253492279"/>
        <n v="246843769"/>
        <n v="243005840"/>
        <n v="236750739"/>
        <n v="236197551"/>
        <n v="230763670"/>
        <n v="225891600"/>
        <n v="223895000"/>
        <n v="221222611"/>
        <n v="208267788"/>
        <n v="200159725"/>
        <n v="199644122"/>
        <n v="190430229"/>
        <n v="187887829"/>
        <n v="187352848"/>
        <n v="186886564"/>
        <n v="185707757"/>
        <n v="181829079"/>
        <n v="179615124"/>
        <n v="161819700"/>
        <n v="155763384"/>
        <n v="154652990"/>
        <n v="154561496"/>
        <n v="152255000"/>
        <n v="144000400"/>
        <n v="143621978"/>
        <n v="136083973"/>
        <n v="135173097"/>
        <n v="127725459"/>
        <n v="118579929"/>
        <n v="118400056"/>
        <n v="118072128"/>
        <n v="117394412"/>
        <n v="116097332"/>
        <n v="113893271"/>
        <n v="112469711"/>
        <n v="112447371"/>
        <n v="104619600"/>
        <n v="102898473"/>
        <n v="101959200"/>
        <n v="100007890"/>
        <n v="99530000"/>
        <n v="93984147"/>
        <n v="92617614"/>
        <n v="92602106"/>
        <n v="91060776"/>
        <n v="89395146"/>
        <n v="84972113"/>
        <n v="81564454"/>
        <n v="81111540"/>
        <n v="78915248"/>
        <n v="78538663"/>
        <n v="77726829"/>
        <n v="74709560"/>
        <n v="74418838"/>
        <n v="67701304"/>
        <n v="67071720"/>
        <n v="66075906"/>
        <n v="66011219"/>
        <n v="60034046"/>
        <n v="58649334"/>
        <n v="57797630"/>
        <n v="57083886"/>
        <n v="55638031"/>
        <n v="53856188"/>
        <n v="53791473"/>
        <n v="52369161"/>
        <n v="51903840"/>
        <n v="50638409"/>
        <n v="49282798"/>
        <n v="48274504"/>
        <n v="45551152"/>
        <n v="45009838"/>
        <n v="44501596"/>
        <n v="41353325"/>
        <n v="41147925"/>
        <n v="40362643"/>
        <n v="40157906"/>
        <n v="37119167"/>
        <n v="36945153"/>
        <n v="35783794"/>
        <n v="34874256"/>
        <n v="34807470"/>
        <n v="34592993"/>
        <n v="34557614"/>
        <n v="34439695"/>
        <n v="34069752"/>
        <n v="33422683"/>
        <n v="33310731"/>
        <n v="32975180"/>
        <n v="32801391"/>
        <n v="32406701"/>
        <n v="32265502"/>
        <n v="31902528"/>
        <n v="31843987"/>
        <n v="30876613"/>
        <n v="30864925"/>
        <n v="30838068"/>
        <n v="30660929"/>
        <n v="30059548"/>
        <n v="29200929"/>
        <n v="28828239"/>
        <n v="28643616"/>
        <n v="28426260"/>
        <n v="28243393"/>
        <n v="28185364"/>
        <n v="27618737"/>
        <n v="27459930"/>
        <n v="27336556"/>
        <n v="26860688"/>
        <n v="25356428"/>
        <n v="25344755"/>
        <n v="25208520"/>
        <n v="25038689"/>
        <n v="24471970"/>
        <n v="24440438"/>
        <n v="24200241"/>
        <n v="24085800"/>
        <n v="23895104"/>
        <n v="23692270"/>
        <n v="23214325"/>
        <n v="23079449"/>
        <n v="22842656"/>
        <n v="22456310"/>
        <n v="21861013"/>
        <n v="21255535"/>
        <n v="21125597"/>
        <n v="20475739"/>
        <n v="20307624"/>
        <n v="20285040"/>
        <n v="19662907"/>
        <n v="19277820"/>
        <n v="19180309"/>
        <n v="19100904"/>
        <n v="19083296"/>
        <n v="18983930"/>
        <n v="18851212"/>
        <n v="18721634"/>
        <n v="18397960"/>
        <n v="18144724"/>
        <n v="18034685"/>
        <n v="17587009"/>
        <n v="17530440"/>
        <n v="17043303"/>
        <n v="16858478"/>
        <n v="16300294"/>
        <n v="16241805"/>
        <n v="15840844"/>
        <n v="15396511"/>
        <n v="15383400"/>
        <n v="15302289"/>
        <n v="15291544"/>
        <n v="15169415"/>
        <n v="15066931"/>
        <n v="15017373"/>
        <n v="14993112"/>
        <n v="14930897"/>
        <n v="14602444"/>
        <n v="14440164"/>
        <n v="14409236"/>
        <n v="14333947"/>
        <n v="14218425"/>
        <n v="14111201"/>
        <n v="14006002"/>
        <n v="13903947"/>
        <n v="13845630"/>
        <n v="13816765"/>
        <n v="13631722"/>
        <n v="13596390"/>
        <n v="13433101"/>
        <n v="13129949"/>
        <n v="13088302"/>
        <n v="12943896"/>
        <n v="12754090"/>
        <n v="12673025"/>
        <n v="12493805"/>
        <n v="12422021"/>
        <n v="12352069"/>
        <n v="12326489"/>
        <n v="12294360"/>
        <n v="12243775"/>
        <n v="12217940"/>
        <n v="12172059"/>
        <n v="12013417"/>
        <n v="11982490"/>
        <n v="11593440"/>
        <n v="11357999"/>
        <n v="11292789"/>
        <n v="11142705"/>
        <n v="10952501"/>
        <n v="10836402"/>
        <n v="10484212"/>
        <n v="10217472"/>
        <n v="9848480"/>
        <n v="9685074"/>
        <n v="9556124"/>
        <n v="9441365"/>
        <n v="9377513"/>
        <n v="9249569"/>
        <n v="9146496"/>
        <n v="9003564"/>
        <n v="8937575"/>
        <n v="8813811"/>
        <n v="8755546"/>
        <n v="8707284"/>
        <n v="8433073"/>
        <n v="8414028"/>
        <n v="8341887"/>
        <n v="8305430"/>
        <n v="8288795"/>
        <n v="8165448"/>
        <n v="8110550"/>
        <n v="7916089"/>
        <n v="7902429"/>
        <n v="7607968"/>
        <n v="7588755"/>
        <n v="7506405"/>
        <n v="7489426"/>
        <n v="7460511"/>
        <n v="7447400"/>
        <n v="7329160"/>
        <n v="7273272"/>
        <n v="7179332"/>
        <n v="7166999"/>
        <n v="7156992"/>
        <n v="7149582"/>
        <n v="7106288"/>
        <n v="7099941"/>
        <n v="7089613"/>
        <n v="6677760"/>
        <n v="6573195"/>
        <n v="6539050"/>
        <n v="6410597"/>
        <n v="6333340"/>
        <n v="6294757"/>
        <n v="6277127"/>
        <n v="6215114"/>
        <n v="6165191"/>
        <n v="6144084"/>
        <n v="6118191"/>
        <n v="6013559"/>
        <n v="5980522"/>
        <n v="5974656"/>
        <n v="5919780"/>
        <n v="5906783"/>
        <n v="5849900"/>
        <n v="5793241"/>
        <n v="5779983"/>
        <n v="5764374"/>
        <n v="5725312"/>
        <n v="5564632"/>
        <n v="5547153"/>
        <n v="5501834"/>
        <n v="5471300"/>
        <n v="5432734"/>
        <n v="5393663"/>
        <n v="5323724"/>
        <n v="5323439"/>
        <n v="5223625"/>
        <n v="5200809"/>
        <n v="5183141"/>
        <n v="5162171"/>
        <n v="5151641"/>
        <n v="5151397"/>
        <n v="5136074"/>
        <n v="5026952"/>
        <n v="5014880"/>
        <n v="4959621"/>
        <n v="4887191"/>
        <n v="4858988"/>
        <n v="4841579"/>
        <n v="4812707"/>
        <n v="4786272"/>
        <n v="4718127"/>
        <n v="4695488"/>
        <n v="4600183"/>
        <n v="4595900"/>
        <n v="4593376"/>
        <n v="4535590"/>
        <n v="4533092"/>
        <n v="4527861"/>
        <n v="4457597"/>
        <n v="4446798"/>
        <n v="4372038"/>
        <n v="4319533"/>
        <n v="4310797"/>
        <n v="4285592"/>
        <n v="4126595"/>
        <n v="3981016"/>
        <n v="3781422"/>
        <n v="3622252"/>
        <n v="3604545"/>
        <n v="3573180"/>
        <n v="3482634"/>
        <n v="3477417"/>
        <n v="3463453"/>
        <n v="3438250"/>
        <n v="3422173"/>
        <n v="3404144"/>
        <n v="3392052"/>
        <n v="3253139"/>
        <n v="3232805"/>
        <n v="3190409"/>
        <n v="3180699"/>
        <n v="3160553"/>
        <n v="3147951"/>
        <n v="3122523"/>
        <n v="3075847"/>
        <n v="3074665"/>
        <n v="3056892"/>
        <n v="3038253"/>
        <n v="2997918"/>
        <n v="2963909"/>
        <n v="2953702"/>
        <n v="2947633"/>
        <n v="2865700"/>
        <n v="2863022"/>
        <n v="2845406"/>
        <n v="2832102"/>
        <n v="2785473"/>
        <n v="2758082"/>
        <n v="2751038"/>
        <n v="2720629"/>
        <n v="2700903"/>
        <n v="2607492"/>
        <n v="2594147"/>
        <n v="2590952"/>
        <n v="2526954"/>
        <n v="2467858"/>
        <n v="2456554"/>
        <n v="2434690"/>
        <n v="2321287"/>
        <n v="2307343"/>
        <n v="2296007"/>
        <n v="2279982"/>
        <n v="2252416"/>
        <n v="2180188"/>
        <n v="2141508"/>
        <n v="2122577"/>
        <n v="2073583"/>
        <n v="2060889"/>
        <n v="2042101"/>
        <n v="2020200"/>
        <n v="1987659"/>
        <n v="1977745"/>
        <n v="1952160"/>
        <n v="1943645"/>
        <n v="1807838"/>
        <n v="1782112"/>
        <n v="1750739"/>
        <n v="1747479"/>
        <n v="1738672"/>
        <n v="1695527"/>
        <n v="1665207"/>
        <n v="1655888"/>
        <n v="1653050"/>
        <n v="1648158"/>
        <n v="1638702"/>
        <n v="1620597"/>
        <n v="1596522"/>
        <n v="1576088"/>
        <n v="1565819"/>
        <n v="1548371"/>
        <n v="1544008"/>
        <n v="1510144"/>
        <n v="1500184"/>
        <n v="1495627"/>
        <n v="1479980"/>
        <n v="1473576"/>
        <n v="1472814"/>
        <n v="1418123"/>
        <n v="1385509"/>
        <n v="1358864"/>
        <n v="1305585"/>
        <n v="1299128"/>
        <n v="1281615"/>
        <n v="1274705"/>
        <n v="1273272"/>
        <n v="1268552"/>
        <n v="1235840"/>
        <n v="1228932"/>
        <n v="1222757"/>
        <n v="1215879"/>
        <n v="1200834"/>
        <n v="1194780"/>
        <n v="1187250"/>
        <n v="1169995"/>
        <n v="1162989"/>
        <n v="1149026"/>
        <n v="1147618"/>
        <n v="1135315"/>
        <n v="1091161"/>
        <n v="1074319"/>
        <n v="1055054"/>
        <n v="1046912"/>
        <n v="1043495"/>
        <n v="1027556"/>
        <n v="983231"/>
        <n v="961077"/>
        <n v="949254"/>
        <n v="948172"/>
        <n v="945721"/>
        <n v="918131"/>
        <n v="895018"/>
        <n v="888118"/>
        <n v="885622"/>
        <n v="881525"/>
        <n v="863674"/>
        <n v="857508"/>
        <n v="815624"/>
        <n v="803892"/>
        <n v="800065"/>
        <n v="792620"/>
        <n v="737120"/>
        <n v="733260"/>
        <n v="728756"/>
        <n v="727432"/>
        <n v="704461"/>
        <n v="701441"/>
        <n v="697652"/>
        <n v="696226"/>
        <n v="664389"/>
        <n v="657091"/>
        <n v="646843"/>
        <n v="640530"/>
        <n v="635366"/>
        <n v="627974"/>
        <n v="619135"/>
        <n v="616576"/>
        <n v="596489"/>
        <n v="588322"/>
        <n v="548646"/>
        <n v="547586"/>
        <n v="528059"/>
        <n v="519576"/>
        <n v="513467"/>
        <n v="512107"/>
        <n v="504805"/>
        <n v="500522"/>
        <n v="486734"/>
        <n v="480049"/>
        <n v="474967"/>
        <n v="464138"/>
        <n v="462675"/>
        <n v="457742"/>
        <n v="448524"/>
        <n v="430092"/>
        <n v="429406"/>
        <n v="426615"/>
        <n v="418068"/>
        <n v="415489"/>
        <n v="408839"/>
        <n v="408630"/>
        <n v="404914"/>
        <n v="403885"/>
        <n v="403667"/>
        <n v="380001"/>
        <n v="375419"/>
        <n v="373822"/>
        <n v="364155"/>
        <n v="361834"/>
        <n v="357063"/>
        <n v="351652"/>
        <n v="344279"/>
        <n v="340896"/>
        <n v="339880"/>
        <n v="339416"/>
        <n v="323699"/>
        <n v="321631"/>
        <n v="320131"/>
        <n v="319420"/>
        <n v="318308"/>
        <n v="318280"/>
        <n v="307397"/>
        <n v="306675"/>
        <n v="285381"/>
        <n v="278354"/>
        <n v="272738"/>
        <n v="242219"/>
        <n v="237524"/>
        <n v="234579"/>
        <n v="229607"/>
        <n v="227818"/>
        <n v="222373"/>
        <n v="222219"/>
        <n v="215204"/>
        <n v="208326"/>
        <n v="193799"/>
        <n v="186970"/>
        <n v="173809"/>
        <n v="168252"/>
        <n v="154436"/>
        <n v="148675"/>
        <n v="141892"/>
        <n v="136854"/>
        <n v="135700"/>
        <n v="134441"/>
        <n v="132513"/>
        <n v="125180"/>
        <n v="123425"/>
        <n v="114245"/>
        <n v="113437"/>
        <n v="110226"/>
        <n v="106300"/>
        <n v="105513"/>
        <n v="104070"/>
        <n v="101828"/>
        <n v="100845"/>
        <n v="99321"/>
        <n v="97778"/>
        <n v="97633"/>
        <n v="94044"/>
        <n v="92331"/>
        <n v="86231"/>
        <n v="84616"/>
        <n v="81193"/>
        <n v="80219"/>
        <n v="79566"/>
        <n v="76202"/>
        <n v="73895"/>
        <n v="70915"/>
        <n v="62063"/>
        <n v="61110"/>
        <n v="54836"/>
        <n v="50708"/>
        <n v="50600"/>
        <n v="47741"/>
        <n v="44716"/>
        <n v="43804"/>
        <n v="42224"/>
        <n v="41380"/>
        <n v="40862"/>
        <n v="39594"/>
        <n v="38571"/>
        <n v="38367"/>
        <n v="37824"/>
        <n v="35778"/>
        <n v="35449"/>
        <n v="32888"/>
        <n v="30495"/>
        <n v="26212"/>
        <n v="21854"/>
        <n v="19622"/>
        <n v="17396"/>
        <n v="16610"/>
        <n v="15772"/>
        <n v="14730"/>
        <n v="12028"/>
        <n v="7023"/>
        <n v="1835"/>
        <n v="1804"/>
        <n v="1741"/>
        <n v="1446"/>
        <n v="1157"/>
        <n v="27249330"/>
        <n v="9615845"/>
        <n v="5673512"/>
        <n v="4037388"/>
        <n v="3430508"/>
        <n v="2563476"/>
        <n v="2013485"/>
        <n v="1985783"/>
        <n v="1689927"/>
        <n v="1641274"/>
        <n v="1542910"/>
        <n v="1534570"/>
        <n v="1521083"/>
        <n v="1377771"/>
        <n v="1371836"/>
        <n v="1308683"/>
        <n v="1153078"/>
        <n v="1111688"/>
        <n v="1033405"/>
        <n v="1003934"/>
        <n v="962629"/>
        <n v="817906"/>
        <n v="798633"/>
        <n v="735237"/>
        <n v="725031"/>
        <n v="713770"/>
        <n v="700328"/>
        <n v="694658"/>
        <n v="693225"/>
        <n v="674617"/>
        <n v="673715"/>
        <n v="667401"/>
        <n v="645847"/>
        <n v="601119"/>
        <n v="596350"/>
        <n v="548832"/>
        <n v="537324"/>
        <n v="527589"/>
        <n v="469414"/>
        <n v="463711"/>
        <n v="454963"/>
        <n v="440739"/>
        <n v="437849"/>
        <n v="435689"/>
        <n v="416869"/>
        <n v="411730"/>
        <n v="403030"/>
        <n v="387048"/>
        <n v="379097"/>
        <n v="370656"/>
        <n v="362276"/>
        <n v="353600"/>
        <n v="353485"/>
        <n v="341416"/>
        <n v="336643"/>
        <n v="333969"/>
        <n v="317575"/>
        <n v="317496"/>
        <n v="313553"/>
        <n v="302511"/>
        <n v="301800"/>
        <n v="300832"/>
        <n v="291577"/>
        <n v="282872"/>
        <n v="278159"/>
        <n v="276499"/>
        <n v="264172"/>
        <n v="255942"/>
        <n v="249870"/>
        <n v="238672"/>
        <n v="234491"/>
        <n v="231179"/>
        <n v="230426"/>
        <n v="228584"/>
        <n v="219869"/>
        <n v="212629"/>
        <n v="210857"/>
        <n v="208904"/>
        <n v="205040"/>
        <n v="204150"/>
        <n v="197890"/>
        <n v="197275"/>
        <n v="190887"/>
        <n v="190340"/>
        <n v="188954"/>
        <n v="185660"/>
        <n v="183335"/>
        <n v="183154"/>
        <n v="175329"/>
        <n v="173713"/>
        <n v="172538"/>
        <n v="171577"/>
        <n v="169371"/>
        <n v="167692"/>
        <n v="165695"/>
        <n v="164972"/>
        <n v="164343"/>
        <n v="160242"/>
        <n v="152101"/>
        <n v="151252"/>
        <n v="148934"/>
        <n v="148433"/>
        <n v="147906"/>
        <n v="146019"/>
        <n v="145657"/>
        <n v="145277"/>
        <n v="144641"/>
        <n v="144463"/>
        <n v="143862"/>
        <n v="143608"/>
        <n v="142853"/>
        <n v="142665"/>
        <n v="141152"/>
        <n v="137014"/>
        <n v="136791"/>
        <n v="133463"/>
        <n v="131783"/>
        <n v="131745"/>
        <n v="131715"/>
        <n v="130237"/>
        <n v="130166"/>
        <n v="128881"/>
        <n v="126814"/>
        <n v="125839"/>
        <n v="121286"/>
        <n v="120928"/>
        <n v="120843"/>
        <n v="120122"/>
        <n v="120052"/>
        <n v="118388"/>
        <n v="117647"/>
        <n v="117300"/>
        <n v="114592"/>
        <n v="110469"/>
        <n v="110408"/>
        <n v="109119"/>
        <n v="108623"/>
        <n v="107976"/>
        <n v="107320"/>
        <n v="106324"/>
        <n v="105836"/>
        <n v="105598"/>
        <n v="103340"/>
        <n v="100984"/>
        <n v="99879"/>
        <n v="99092"/>
        <n v="99032"/>
        <n v="95838"/>
        <n v="94492"/>
        <n v="94363"/>
        <n v="94301"/>
        <n v="93621"/>
        <n v="93034"/>
        <n v="87603"/>
        <n v="86558"/>
        <n v="85894"/>
        <n v="85465"/>
        <n v="85144"/>
        <n v="81059"/>
        <n v="80435"/>
        <n v="79039"/>
        <n v="78782"/>
        <n v="77590"/>
        <n v="77553"/>
        <n v="77440"/>
        <n v="76097"/>
        <n v="75173"/>
        <n v="74917"/>
        <n v="74802"/>
        <n v="74675"/>
        <n v="74589"/>
        <n v="74231"/>
        <n v="72466"/>
        <n v="69971"/>
        <n v="69269"/>
        <n v="69082"/>
        <n v="68118"/>
        <n v="66837"/>
        <n v="66194"/>
        <n v="65705"/>
        <n v="64799"/>
        <n v="63477"/>
        <n v="63468"/>
        <n v="62904"/>
        <n v="62116"/>
        <n v="62019"/>
        <n v="61622"/>
        <n v="61535"/>
        <n v="61170"/>
        <n v="60953"/>
        <n v="60834"/>
        <n v="60730"/>
        <n v="60595"/>
        <n v="59894"/>
        <n v="59822"/>
        <n v="59536"/>
        <n v="58531"/>
        <n v="57748"/>
        <n v="57495"/>
        <n v="56059"/>
        <n v="54862"/>
        <n v="53479"/>
        <n v="52767"/>
        <n v="52415"/>
        <n v="52114"/>
        <n v="51812"/>
        <n v="51699"/>
        <n v="51095"/>
        <n v="49943"/>
        <n v="48796"/>
        <n v="48789"/>
        <n v="48400"/>
        <n v="48029"/>
        <n v="47661"/>
        <n v="46692"/>
        <n v="46096"/>
        <n v="45475"/>
        <n v="44986"/>
        <n v="42401"/>
        <n v="41664"/>
        <n v="40173"/>
        <n v="39833"/>
        <n v="39750"/>
        <n v="39415"/>
        <n v="38810"/>
        <n v="38575"/>
        <n v="38384"/>
        <n v="38065"/>
        <n v="37855"/>
        <n v="37552"/>
        <n v="37344"/>
        <n v="37124"/>
        <n v="36589"/>
        <n v="36455"/>
        <n v="34511"/>
        <n v="34419"/>
        <n v="34162"/>
        <n v="33347"/>
        <n v="33176"/>
        <n v="32184"/>
        <n v="31794"/>
        <n v="31538"/>
        <n v="31507"/>
        <n v="31028"/>
        <n v="30709"/>
        <n v="30568"/>
        <n v="30280"/>
        <n v="30069"/>
        <n v="29414"/>
        <n v="29221"/>
        <n v="29018"/>
        <n v="28198"/>
        <n v="28158"/>
        <n v="28109"/>
        <n v="28083"/>
        <n v="28066"/>
        <n v="27920"/>
        <n v="27189"/>
        <n v="26737"/>
        <n v="26460"/>
        <n v="26277"/>
        <n v="24371"/>
        <n v="24023"/>
        <n v="23966"/>
        <n v="22165"/>
        <n v="21976"/>
        <n v="21688"/>
        <n v="21611"/>
        <n v="21215"/>
        <n v="20792"/>
        <n v="20059"/>
        <n v="19495"/>
        <n v="19492"/>
        <n v="19353"/>
        <n v="18384"/>
        <n v="18263"/>
        <n v="17943"/>
        <n v="17462"/>
        <n v="17447"/>
        <n v="17321"/>
        <n v="17169"/>
        <n v="17158"/>
        <n v="17117"/>
        <n v="17112"/>
        <n v="16699"/>
        <n v="16655"/>
        <n v="16549"/>
        <n v="15832"/>
        <n v="15790"/>
        <n v="15757"/>
        <n v="15382"/>
        <n v="15367"/>
        <n v="15320"/>
        <n v="14847"/>
        <n v="14663"/>
        <n v="14232"/>
        <n v="14127"/>
        <n v="14028"/>
        <n v="12953"/>
        <n v="12275"/>
        <n v="11694"/>
        <n v="11144"/>
        <n v="10736"/>
        <n v="9011"/>
        <n v="8979"/>
        <n v="8599"/>
        <n v="7926"/>
        <n v="7708"/>
        <n v="7347"/>
        <n v="7266"/>
        <n v="7012"/>
        <n v="6540"/>
        <n v="6159"/>
        <n v="5084"/>
        <n v="4691"/>
        <n v="4141"/>
        <n v="3664"/>
        <n v="3218"/>
        <n v="2487"/>
        <n v="2427"/>
        <n v="2410"/>
        <n v="2188"/>
        <n v="1440"/>
        <n v="760"/>
        <n v="729"/>
        <n v="551"/>
        <n v="267"/>
        <n v="106"/>
        <n v="88"/>
        <m/>
      </sharedItems>
    </cacheField>
    <cacheField name="Coin.available_supply" numFmtId="0">
      <sharedItems containsBlank="1" count="881">
        <s v="16608087.0"/>
        <s v="94988973.0"/>
        <s v="38597142499.0"/>
        <s v="16675013.0"/>
        <s v="53264407.0"/>
        <s v="7606244.0"/>
        <s v="8999999999.0"/>
        <s v="50000000.0"/>
        <s v="2779530283.0"/>
        <s v="15183905.0"/>
        <s v="96220877.0"/>
        <s v="6940323.0"/>
        <s v="98312024.0"/>
        <s v="59000000.0"/>
        <s v="113206265.0"/>
        <s v="2343781.0"/>
        <s v="100000000.0"/>
        <s v="25927070538.0"/>
        <s v="437061572.0"/>
        <s v="98572012.0"/>
        <s v="16587513694.0"/>
        <s v="242884130.0"/>
        <s v="97981284.0"/>
        <s v="137995600.0"/>
        <s v="33692925.0"/>
        <s v="183253534612"/>
        <s v="8530252.0"/>
        <s v="389261030.0"/>
        <s v="11000000.0"/>
        <s v="1000000000.0"/>
        <s v="104661310.0"/>
        <s v="452552412.0"/>
        <s v="54434126.0"/>
        <s v="54675000.0"/>
        <s v="24898178.0"/>
        <s v="998999495.0"/>
        <s v="100945510.0"/>
        <s v="833032000.0"/>
        <s v="99900350.0"/>
        <s v="65115000000.0"/>
        <s v="5904644.0"/>
        <s v="350000000.0"/>
        <s v="8745102.0"/>
        <s v="64355352.0"/>
        <s v="2600150000.0"/>
        <s v="2000000.0"/>
        <s v="19300994.0"/>
        <s v="29918560350.0"/>
        <s v="1104590.0"/>
        <s v="2016034.0"/>
        <s v="8742253657.0"/>
        <s v="4830171.0"/>
        <s v="10962548.0"/>
        <s v="111392579976"/>
        <s v="340200000.0"/>
        <s v="1288862.0"/>
        <s v="41252246.0"/>
        <s v="583896.0"/>
        <s v="4000000000.0"/>
        <s v="38295641.0"/>
        <s v="600000000.0"/>
        <s v="3470483788.0"/>
        <s v="500000000.0"/>
        <s v="233020472.0"/>
        <s v="40772871.0"/>
        <s v="268763241.0"/>
        <s v="13409472280.0"/>
        <s v="171403817.0"/>
        <s v="987000000.0"/>
        <s v="40510000.0"/>
        <s v="278708913.0"/>
        <s v="528002464.0"/>
        <s v="52915070.0"/>
        <s v="756097560976"/>
        <s v="68000000.0"/>
        <s v="9814875.0"/>
        <s v="321137782.0"/>
        <s v="56143406.0"/>
        <s v="10200000.0"/>
        <s v="998999942.0"/>
        <s v="286170756.0"/>
        <s v="38231697.0"/>
        <s v="156209812.0"/>
        <s v="32948091.0"/>
        <s v="359600000.0"/>
        <s v="98028887.0"/>
        <s v="40099200.0"/>
        <s v="82046288.0"/>
        <s v="16371024.0"/>
        <s v="19628888.0"/>
        <s v="89708333.0"/>
        <s v="7728583.0"/>
        <s v="71491027.0"/>
        <s v="61860690.0"/>
        <s v="79070793.0"/>
        <s v="599400.0"/>
        <s v="325000000.0"/>
        <s v="353983745.0"/>
        <s v="98992535.0"/>
        <s v="303095254787"/>
        <s v="113139200.0"/>
        <s v="86740810.0"/>
        <s v="14651140.0"/>
        <s v="2810000.0"/>
        <s v="38216954.0"/>
        <s v="3156696.0"/>
        <s v="23644056.0"/>
        <s v="8146001.0"/>
        <s v="5114240.0"/>
        <s v="226091449.0"/>
        <s v="140000000.0"/>
        <s v="53193831.0"/>
        <s v="203842652.0"/>
        <s v="2273755650.0"/>
        <s v="422513667.0"/>
        <s v="54445800.0"/>
        <s v="1007768409.0"/>
        <s v="85558371.0"/>
        <s v="216819832.0"/>
        <s v="51306089.0"/>
        <s v="24372277.0"/>
        <s v="952429892.0"/>
        <s v="29600000.0"/>
        <s v="12439738.0"/>
        <s v="92147500.0"/>
        <s v="22600000.0"/>
        <s v="28636032247.0"/>
        <s v="85000000.0"/>
        <s v="52000000.0"/>
        <s v="22848104.0"/>
        <s v="197824.0"/>
        <s v="553739214.0"/>
        <s v="549891703.0"/>
        <s v="2617689.0"/>
        <s v="8876594.0"/>
        <s v="40822853.0"/>
        <s v="2650147.0"/>
        <s v="75000000.0"/>
        <s v="30049251.0"/>
        <s v="70000000.0"/>
        <s v="2455973.0"/>
        <s v="7001623.0"/>
        <s v="16728909.0"/>
        <s v="32105578.0"/>
        <s v="15513947.0"/>
        <s v="2147483647.0"/>
        <s v="127109488.0"/>
        <s v="2136283004.0"/>
        <s v="15572854.0"/>
        <s v="164925727.0"/>
        <s v="26244468.0"/>
        <s v="5933198.0"/>
        <s v="162858880.0"/>
        <s v="214172636.0"/>
        <s v="66521586.0"/>
        <s v="85978873.0"/>
        <s v="91275176.0"/>
        <s v="125542958.0"/>
        <s v="1248965.0"/>
        <s v="14736400.0"/>
        <s v="6000000.0"/>
        <s v="56230895.0"/>
        <s v="4279388.0"/>
        <s v="24842858.0"/>
        <s v="33390496.0"/>
        <s v="3808454.0"/>
        <s v="19429024.0"/>
        <s v="24400000.0"/>
        <s v="642671985.0"/>
        <s v="2297853.0"/>
        <s v="4151390.0"/>
        <s v="72996605.0"/>
        <s v="2229310.0"/>
        <s v="25009250.0"/>
        <s v="1004371.0"/>
        <s v="7906397.0"/>
        <s v="1800339818.0"/>
        <s v="3361052.0"/>
        <s v="6885695758.0"/>
        <s v="68524524.0"/>
        <s v="11265189.0"/>
        <s v="191381257.0"/>
        <s v="76414244.0"/>
        <s v="79522355.0"/>
        <s v="1977786.0"/>
        <s v="218168288.0"/>
        <s v="227384800.0"/>
        <s v="710113.0"/>
        <s v="42000000.0"/>
        <s v="7647621.0"/>
        <s v="610395188.0"/>
        <s v="121281417.0"/>
        <s v="82256324.0"/>
        <s v="109942758.0"/>
        <s v="113322017.0"/>
        <s v="124518891.0"/>
        <s v="559877.0"/>
        <s v="390312753.0"/>
        <s v="762398445.0"/>
        <s v="51200000.0"/>
        <s v="1194762.0"/>
        <s v="9993840.0"/>
        <s v="64500000.0"/>
        <s v="10500000.0"/>
        <s v="22747809.0"/>
        <s v="3811072.0"/>
        <s v="222353023781"/>
        <s v="216963241.0"/>
        <s v="10000000.0"/>
        <s v="183000000.0"/>
        <s v="121539296.0"/>
        <s v="163970667.0"/>
        <s v="138299984.0"/>
        <s v="5852602.0"/>
        <s v="1712083087.0"/>
        <s v="15819400.0"/>
        <s v="850000.0"/>
        <s v="20446404.0"/>
        <s v="10525960.0"/>
        <s v="30393295.0"/>
        <s v="35778844.0"/>
        <s v="210000000.0"/>
        <s v="886211988.0"/>
        <s v="3515109.0"/>
        <s v="369959510.0"/>
        <s v="362152300.0"/>
        <s v="701884009.0"/>
        <s v="444444444.0"/>
        <s v="20564300.0"/>
        <s v="425000000.0"/>
        <s v="15000000.0"/>
        <s v="3082940.0"/>
        <s v="68536789.0"/>
        <s v="36725776.0"/>
        <s v="8966549.0"/>
        <s v="46016625.0"/>
        <s v="1816107.0"/>
        <s v="48858600.0"/>
        <s v="7360121.0"/>
        <s v="16714525.0"/>
        <s v="694424103386"/>
        <s v="375000000.0"/>
        <s v="1861015.0"/>
        <s v="177616440.0"/>
        <s v="40000000.0"/>
        <s v="1500000.0"/>
        <s v="14057212.0"/>
        <s v="44100000.0"/>
        <s v="492158343.0"/>
        <s v="248381501.0"/>
        <s v="1268201.0"/>
        <s v="2156543000.0"/>
        <s v="31273319.0"/>
        <s v="29276504.0"/>
        <s v="1032449.0"/>
        <s v="10614760961.0"/>
        <s v="127770641.0"/>
        <s v="11879177.0"/>
        <s v="30000000.0"/>
        <s v="23240139.0"/>
        <s v="792537250.0"/>
        <s v="8658139.0"/>
        <s v="524682737.0"/>
        <s v="30503273.0"/>
        <s v="36903437.0"/>
        <s v="62131190.0"/>
        <s v="202000000.0"/>
        <s v="25000000000.0"/>
        <s v="9474382.0"/>
        <s v="40659020000.0"/>
        <s v="22604030.0"/>
        <s v="23779365.0"/>
        <s v="101286.0"/>
        <s v="2516334.0"/>
        <s v="15254447.0"/>
        <s v="8157653.0"/>
        <s v="103242825.0"/>
        <s v="4269597.0"/>
        <s v="37915800.0"/>
        <s v="59182877204.0"/>
        <s v="130940574.0"/>
        <s v="21380350.0"/>
        <s v="9924884.0"/>
        <s v="27081944.0"/>
        <s v="4093736.0"/>
        <s v="40542736.0"/>
        <s v="140080549.0"/>
        <s v="703179.0"/>
        <s v="2428215.0"/>
        <s v="4886565.0"/>
        <s v="45039724.0"/>
        <s v="1000.0"/>
        <s v="13976400.0"/>
        <s v="62759702.0"/>
        <s v="2242500.0"/>
        <s v="50773195.0"/>
        <s v="4066520.0"/>
        <s v="1390236.0"/>
        <s v="3092993.0"/>
        <s v="16714020.0"/>
        <s v="6247267.0"/>
        <s v="3630790.0"/>
        <s v="1818778.0"/>
        <s v="39189860.0"/>
        <s v="227489313.0"/>
        <s v="1809800.0"/>
        <s v="32086595.0"/>
        <s v="15697303.0"/>
        <s v="3564611.0"/>
        <s v="3241124.0"/>
        <s v="2777600756.0"/>
        <s v="1518600250.0"/>
        <s v="5063779.0"/>
        <s v="104712011.0"/>
        <s v="15502850.0"/>
        <s v="2762438.0"/>
        <s v="111085648.0"/>
        <s v="3130390.0"/>
        <s v="3479115.0"/>
        <s v="20867492.0"/>
        <s v="6830540.0"/>
        <s v="16458796.0"/>
        <s v="200685164.0"/>
        <s v="1391604.0"/>
        <s v="13321301.0"/>
        <s v="6268082.0"/>
        <s v="400339746.0"/>
        <s v="100236454.0"/>
        <s v="1308128.0"/>
        <s v="107972766.0"/>
        <s v="8660756.0"/>
        <s v="38601187.0"/>
        <s v="516491889.0"/>
        <s v="36971142697.0"/>
        <s v="15535267.0"/>
        <s v="18142083.0"/>
        <s v="6148324.0"/>
        <s v="109535333.0"/>
        <s v="12248511.0"/>
        <s v="46500000.0"/>
        <s v="574683675.0"/>
        <s v="12415993.0"/>
        <s v="41004100.0"/>
        <s v="77231176.0"/>
        <s v="16180000.0"/>
        <s v="12517472.0"/>
        <s v="1979224.0"/>
        <s v="24905165134.0"/>
        <s v="1133007.0"/>
        <s v="629610.0"/>
        <s v="10815966.0"/>
        <s v="9952089.0"/>
        <s v="45079785.0"/>
        <s v="22651286707.0"/>
        <s v="15239327.0"/>
        <s v="13600388.0"/>
        <s v="20650334694.0"/>
        <s v="33356077.0"/>
        <s v="7466284.0"/>
        <s v="19503510.0"/>
        <s v="23271965570.0"/>
        <s v="45019922.0"/>
        <s v="22000850.0"/>
        <s v="95000000.0"/>
        <s v="23472224.0"/>
        <s v="22619773.0"/>
        <s v="37816675.0"/>
        <s v="15487060.0"/>
        <s v="6003429666.0"/>
        <s v="4764026.0"/>
        <s v="3562111.0"/>
        <s v="1129992.0"/>
        <s v="535138340560"/>
        <s v="2232839.0"/>
        <s v="88183483.0"/>
        <s v="1014244873.0"/>
        <s v="17727836.0"/>
        <s v="248223390.0"/>
        <s v="126000000.0"/>
        <s v="1000812836.0"/>
        <s v="124777539.0"/>
        <s v="16856639.0"/>
        <s v="2500000.0"/>
        <s v="1036691.0"/>
        <s v="910624824.0"/>
        <s v="4978383.0"/>
        <s v="27432814.0"/>
        <s v="382476.0"/>
        <s v="47503.0"/>
        <s v="4524960.0"/>
        <s v="24440420.0"/>
        <s v="11639704.0"/>
        <s v="25960250000.0"/>
        <s v="900000.0"/>
        <s v="14110350.0"/>
        <s v="3956990.0"/>
        <s v="1673383.0"/>
        <s v="1806459.0"/>
        <s v="284541.0"/>
        <s v="255152000.0"/>
        <s v="61657044.0"/>
        <s v="1733671.0"/>
        <s v="1990045.0"/>
        <s v="443168182458"/>
        <s v="960923.0"/>
        <s v="8035193.0"/>
        <s v="51393105.0"/>
        <s v="115742049.0"/>
        <s v="55200000.0"/>
        <s v="4500000.0"/>
        <s v="6214485.0"/>
        <s v="65802448.0"/>
        <s v="44497634.0"/>
        <s v="189729990.0"/>
        <s v="21591710337.0"/>
        <s v="1273671519.0"/>
        <s v="3315372.0"/>
        <s v="5024368.0"/>
        <s v="16487574.0"/>
        <s v="9985510.0"/>
        <s v="21268092.0"/>
        <s v="4773.0"/>
        <s v="362036283.0"/>
        <s v="6190179.0"/>
        <s v="14857914506.0"/>
        <s v="3285250.0"/>
        <s v="38507883.0"/>
        <s v="10214628.0"/>
        <s v="35944900.0"/>
        <s v="46785866.0"/>
        <s v="1125731896.0"/>
        <s v="98964274.0"/>
        <s v="5721653.0"/>
        <s v="2278150.0"/>
        <s v="6695133.0"/>
        <s v="10343113.0"/>
        <s v="23376718.0"/>
        <s v="1627678.0"/>
        <s v="8398800.0"/>
        <s v="1581531.0"/>
        <s v="30346591.0"/>
        <s v="4470952.0"/>
        <s v="3868787.0"/>
        <s v="2306603505.0"/>
        <s v="32514916898.0"/>
        <s v="1571013.0"/>
        <s v="7180929.0"/>
        <s v="5118307.0"/>
        <s v="9134750.0"/>
        <s v="44169482.0"/>
        <s v="12110050.0"/>
        <s v="1652770.0"/>
        <s v="196766.0"/>
        <s v="577004618.0"/>
        <s v="489498580.0"/>
        <s v="157223250.0"/>
        <s v="23870835.0"/>
        <s v="1778333.0"/>
        <s v="107117655.0"/>
        <s v="2572432.0"/>
        <s v="12815205.0"/>
        <s v="13328561.0"/>
        <s v="400000.0"/>
        <s v="5428300.0"/>
        <s v="15868233.0"/>
        <s v="88888888.0"/>
        <s v="525553.0"/>
        <s v="60970085.0"/>
        <s v="10120417.0"/>
        <s v="6545315.0"/>
        <s v="145003010000"/>
        <s v="27793416.0"/>
        <s v="235421.0"/>
        <s v="72891.0"/>
        <s v="12212605.0"/>
        <s v="42.0"/>
        <s v="29088891.0"/>
        <s v="150284558033"/>
        <s v="3975459.0"/>
        <s v="2110317.0"/>
        <s v="10415252.0"/>
        <s v="1589449.0"/>
        <s v="23079737.0"/>
        <s v="558000.0"/>
        <s v="1356645470.0"/>
        <s v="41912450.0"/>
        <s v="51.0"/>
        <s v="316832.0"/>
        <s v="3867080.0"/>
        <s v="10153840.0"/>
        <s v="580490.0"/>
        <s v="57385690.0"/>
        <s v="5463887.0"/>
        <s v="816133118.0"/>
        <s v="20898600.0"/>
        <s v="61095725.0"/>
        <s v="5208397.0"/>
        <s v="7966386.0"/>
        <s v="346674.0"/>
        <s v="84520170.0"/>
        <s v="5575876.0"/>
        <s v="11208967.0"/>
        <s v="2560000000.0"/>
        <s v="1039559.0"/>
        <s v="256878.0"/>
        <s v="1220085.0"/>
        <s v="90421856.0"/>
        <s v="2476893.0"/>
        <s v="173532.0"/>
        <s v="15124541.0"/>
        <s v="4215662.0"/>
        <s v="30122960.0"/>
        <s v="105618830.0"/>
        <s v="189094747.0"/>
        <s v="60382622.0"/>
        <s v="12384976.0"/>
        <s v="79721.0"/>
        <s v="49971340.0"/>
        <s v="109448670.0"/>
        <s v="1627261.0"/>
        <s v="11454533.0"/>
        <s v="8228338.0"/>
        <s v="144046526.0"/>
        <s v="24790100.0"/>
        <s v="27460254.0"/>
        <s v="40477042.0"/>
        <s v="24931054.0"/>
        <s v="43511550.0"/>
        <s v="462843.0"/>
        <s v="6668070.0"/>
        <s v="11855487.0"/>
        <s v="510802961.0"/>
        <s v="20225495.0"/>
        <s v="2279135.0"/>
        <s v="31512613.0"/>
        <s v="18671.0"/>
        <s v="1295878.0"/>
        <s v="4848522.0"/>
        <s v="41288039.0"/>
        <s v="3965716.0"/>
        <s v="486609040.0"/>
        <s v="592894.0"/>
        <s v="8845750.0"/>
        <s v="36390750.0"/>
        <s v="4394874.0"/>
        <s v="8009822.0"/>
        <s v="14083450.0"/>
        <s v="3821590.0"/>
        <s v="662801.0"/>
        <s v="36032868.0"/>
        <s v="0.0"/>
        <s v="3188280.0"/>
        <s v="972586.0"/>
        <s v="1201551.0"/>
        <s v="379416.0"/>
        <s v="96601.0"/>
        <s v="421300.0"/>
        <s v="44431.0"/>
        <s v="816061.0"/>
        <s v="58703.0"/>
        <s v="850000000.0"/>
        <s v="1874646.0"/>
        <s v="1046043634.0"/>
        <s v="10000221.0"/>
        <s v="709778502.0"/>
        <s v="251706412.0"/>
        <s v="465755.0"/>
        <s v="1002391.0"/>
        <s v="11433103485.0"/>
        <s v="20999088.0"/>
        <s v="90596274910.0"/>
        <s v="822884672.0"/>
        <s v="122175.0"/>
        <s v="101168328395"/>
        <s v="10139172834.0"/>
        <s v="6056587.0"/>
        <s v="10996318099.0"/>
        <s v="60473221.0"/>
        <s v="35300866.0"/>
        <s v="9200000.0"/>
        <s v="16822736.0"/>
        <s v="32000.0"/>
        <s v="8000000.0"/>
        <s v="73135829.0"/>
        <s v="3421356641.0"/>
        <s v="166773132.0"/>
        <s v="15391998665.0"/>
        <s v="15320585365.0"/>
        <s v="12878667.0"/>
        <s v="3433358762.0"/>
        <s v="4188000.0"/>
        <s v="76925527.0"/>
        <s v="97415544.0"/>
        <s v="8216446.0"/>
        <s v="441349000.0"/>
        <s v="787126712.0"/>
        <s v="17574970.0"/>
        <s v="65290635.0"/>
        <s v="1990891.0"/>
        <s v="101570854.0"/>
        <s v="14816207500.0"/>
        <s v="44162349.0"/>
        <s v="1318207629.0"/>
        <s v="24700248.0"/>
        <s v="5758653.0"/>
        <s v="129032781759"/>
        <s v="65171010.0"/>
        <s v="562095450.0"/>
        <s v="19990200.0"/>
        <s v="554855.0"/>
        <s v="43699481.0"/>
        <s v="7000000.0"/>
        <s v="11805615.0"/>
        <s v="3047835.0"/>
        <s v="59696358.0"/>
        <s v="34556.0"/>
        <s v="459671172.0"/>
        <s v="195471.0"/>
        <s v="485109416.0"/>
        <s v="20982524.0"/>
        <s v="1164415.0"/>
        <s v="46000000.0"/>
        <s v="49898202.0"/>
        <s v="1000000.0"/>
        <s v="4699301.0"/>
        <s v="5848581.0"/>
        <s v="25008253.0"/>
        <s v="24101381.0"/>
        <s v="2949157.0"/>
        <s v="5000000.0"/>
        <s v="296216.0"/>
        <s v="210806.0"/>
        <s v="322214524.0"/>
        <s v="2612680.0"/>
        <s v="27100000.0"/>
        <s v="20603186647.0"/>
        <s v="565134332.0"/>
        <s v="145814541.0"/>
        <s v="111950702.0"/>
        <s v="16373788.0"/>
        <s v="14937439.0"/>
        <s v="1414054562.0"/>
        <s v="13379987.0"/>
        <s v="45895545000.0"/>
        <s v="125279775.0"/>
        <s v="102088278429"/>
        <s v="3941873172.0"/>
        <s v="29036569.0"/>
        <s v="33357997.0"/>
        <s v="9436367.0"/>
        <s v="13053601.0"/>
        <s v="14491014421.0"/>
        <s v="381236123.0"/>
        <s v="183606551.0"/>
        <s v="4186712.0"/>
        <s v="25596821.0"/>
        <s v="1134209254.0"/>
        <s v="135647170.0"/>
        <s v="16857400.0"/>
        <s v="29008825.0"/>
        <s v="7799025.0"/>
        <s v="15142121.0"/>
        <s v="26838090.0"/>
        <s v="8820.0"/>
        <s v="156508190248"/>
        <s v="100040708.0"/>
        <s v="19117129.0"/>
        <s v="9106714.0"/>
        <s v="248063433.0"/>
        <s v="15122697.0"/>
        <s v="17171382.0"/>
        <s v="105143596.0"/>
        <s v="6365285.0"/>
        <s v="34248494.0"/>
        <s v="10064287.0"/>
        <s v="2361470.0"/>
        <s v="118953713.0"/>
        <s v="196297971.0"/>
        <s v="1.0"/>
        <s v="66876281414.0"/>
        <s v="3472983.0"/>
        <s v="406568581.0"/>
        <s v="5445431.0"/>
        <s v="54032769.0"/>
        <s v="2866607586.0"/>
        <s v="42537681.0"/>
        <s v="192774628.0"/>
        <s v="13046431.0"/>
        <s v="99976323.0"/>
        <s v="2448402.0"/>
        <s v="1259816434.0"/>
        <s v="3111603.0"/>
        <s v="90.0"/>
        <s v="3000000.0"/>
        <s v="493863915.0"/>
        <s v="2429126009.0"/>
        <s v="6044911.0"/>
        <s v="14701000.0"/>
        <s v="297891209.0"/>
        <s v="12818967.0"/>
        <s v="22154156.0"/>
        <s v="43536800.0"/>
        <s v="5027857.0"/>
        <s v="401421401.0"/>
        <s v="90741506.0"/>
        <s v="33954324.0"/>
        <s v="751585.0"/>
        <s v="2093399315.0"/>
        <s v="71234301.0"/>
        <s v="2000683485.0"/>
        <s v="3550350.0"/>
        <s v="21020383.0"/>
        <s v="9848485.0"/>
        <s v="63993275.0"/>
        <s v="630343.0"/>
        <s v="140262505.0"/>
        <s v="19844745.0"/>
        <s v="23042604.0"/>
        <s v="1220161.0"/>
        <s v="98412.0"/>
        <s v="930767.0"/>
        <s v="299480.0"/>
        <s v="1405450.0"/>
        <s v="17465159.0"/>
        <s v="17089600.0"/>
        <s v="11527489.0"/>
        <s v="4195132.0"/>
        <s v="169598616.0"/>
        <s v="5368934.0"/>
        <s v="29603264.0"/>
        <s v="6017350.0"/>
        <s v="793108.0"/>
        <s v="74107896.0"/>
        <s v="28279074.0"/>
        <s v="75614500.0"/>
        <s v="20285537.0"/>
        <s v="106080229.0"/>
        <s v="12011453.0"/>
        <s v="1074095.0"/>
        <s v="22406021.0"/>
        <s v="7084538.0"/>
        <s v="17999315.0"/>
        <s v="8128311.0"/>
        <s v="16370399.0"/>
        <s v="5702048.0"/>
        <s v="13701200.0"/>
        <s v="11680376.0"/>
        <s v="9702497.0"/>
        <s v="73729962.0"/>
        <s v="9919485.0"/>
        <s v="2449568.0"/>
        <s v="22298088.0"/>
        <s v="115499623.0"/>
        <s v="1251855418.0"/>
        <s v="7024402.0"/>
        <s v="6601854.0"/>
        <s v="4228672.0"/>
        <s v="1207310.0"/>
        <s v="861099.0"/>
        <s v="18547845.0"/>
        <s v="7681431.0"/>
        <s v="1513704.0"/>
        <s v="425094.0"/>
        <s v="5201310113.0"/>
        <s v="1450359.0"/>
        <s v="11361817.0"/>
        <s v="999999.0"/>
        <s v="8990019.0"/>
        <s v="6199359.0"/>
        <s v="77777777.0"/>
        <s v="1095224.0"/>
        <s v="300.0"/>
        <s v="878544.0"/>
        <s v="5087925.0"/>
        <s v="20181636.0"/>
        <s v="8030000.0"/>
        <s v="45887218.0"/>
        <s v="7398645.0"/>
        <s v="316179.0"/>
        <s v="1642679.0"/>
        <s v="2429219.0"/>
        <s v="23905669976.0"/>
        <s v="240854.0"/>
        <s v="8623200.0"/>
        <s v="7342428.0"/>
        <s v="14298972.0"/>
        <s v="12546625.0"/>
        <s v="106019270.0"/>
        <s v="20898106.0"/>
        <s v="20821709.0"/>
        <s v="4334350.0"/>
        <s v="3115258.0"/>
        <s v="6243840.0"/>
        <s v="872830.0"/>
        <s v="38669634.0"/>
        <s v="12462620.0"/>
        <s v="18625017.0"/>
        <s v="144105100.0"/>
        <s v="16110893.0"/>
        <s v="18781750.0"/>
        <s v="19608620337.0"/>
        <s v="3372875244.0"/>
        <s v="6420350.0"/>
        <s v="10499996.0"/>
        <s v="83450403.0"/>
        <s v="10789954.0"/>
        <s v="19615019.0"/>
        <s v="20520514.0"/>
        <s v="2007.0"/>
        <s v="1600000.0"/>
        <s v="2261279.0"/>
        <s v="21262780.0"/>
        <s v="630795971.0"/>
        <s v="30227750.0"/>
        <s v="299494290.0"/>
        <s v="600344291.0"/>
        <s v="79541001.0"/>
        <s v="36646779.0"/>
        <s v="109508864.0"/>
        <s v="101276976.0"/>
        <s v="100000000000"/>
        <s v="1542175.0"/>
        <s v="7155671.0"/>
        <s v="11821728.0"/>
        <s v="608557394.0"/>
        <s v="4829945.0"/>
        <s v="20245510.0"/>
        <s v="1726.0"/>
        <s v="1524686.0"/>
        <s v="420000.0"/>
        <s v="4526324.0"/>
        <s v="1384879.0"/>
        <s v="1494171.0"/>
        <s v="79719140.0"/>
        <s v="1195525.0"/>
        <s v="249843.0"/>
        <s v="32565300.0"/>
        <s v="88213.0"/>
        <s v="27251500.0"/>
        <s v="79270.0"/>
        <s v="7561891.0"/>
        <s v="744266.0"/>
        <s v="5550102.0"/>
        <s v="60000001.0"/>
        <s v="885756.0"/>
        <s v="2453240.0"/>
        <s v="753776.0"/>
        <s v="780124964.0"/>
        <s v="2622163.0"/>
        <s v="894026.0"/>
        <s v="261831.0"/>
        <s v="3064800.0"/>
        <s v="23370501.0"/>
        <s v="3360417.0"/>
        <s v="5091200.0"/>
        <s v="2581970.0"/>
        <s v="159347.0"/>
        <s v="1148324.0"/>
        <s v="15112554.0"/>
        <s v="50765854.0"/>
        <s v="35220238.0"/>
        <s v="1678439.0"/>
        <s v="1908128.0"/>
        <s v="704882.0"/>
        <s v="211827.0"/>
        <s v="485214.0"/>
        <s v="4005012.0"/>
        <s v="107829281.0"/>
        <s v="16627.0"/>
        <s v="4650380.0"/>
        <s v="403189.0"/>
        <s v="111110.0"/>
        <s v="1377917.0"/>
        <s v="49983870.0"/>
        <s v="5826388.0"/>
        <s v="67700.0"/>
        <s v="132656584.0"/>
        <s v="2753201.0"/>
        <s v="10100.0"/>
        <s v="87140.0"/>
        <m/>
      </sharedItems>
    </cacheField>
    <cacheField name="Coin.total_supply" numFmtId="0">
      <sharedItems containsBlank="1" count="909">
        <s v="16608087.0"/>
        <s v="94988973.0"/>
        <s v="99993307218.0"/>
        <s v="16675013.0"/>
        <s v="53264407.0"/>
        <s v="7606244.0"/>
        <s v="8999999999.0"/>
        <s v="100000000.0"/>
        <s v="2779530283.0"/>
        <s v="15183905.0"/>
        <s v="96220877.0"/>
        <s v="7971255.0"/>
        <s v="140245398.0"/>
        <s v="113206265.0"/>
        <s v="2343781.0"/>
        <s v="31112483745.0"/>
        <s v="444951082.0"/>
        <s v="98572012.0"/>
        <s v="103314101453"/>
        <s v="259858224.0"/>
        <s v="129231284.0"/>
        <s v="226000000.0"/>
        <s v="42092925.0"/>
        <s v="183253534612"/>
        <s v="11522512.0"/>
        <s v="1000000000.0"/>
        <s v="11000000.0"/>
        <s v="1500000000.0"/>
        <s v="205218256.0"/>
        <s v="452552412.0"/>
        <s v="54434126.0"/>
        <s v="120000000.0"/>
        <s v="70000000.0"/>
        <s v="998999495.0"/>
        <s v="100945510.0"/>
        <s v="99900350.0"/>
        <s v="100000000000"/>
        <s v="6324644.0"/>
        <s v="8745102.0"/>
        <s v="64355352.0"/>
        <s v="2600150000.0"/>
        <s v="200000000.0"/>
        <s v="2000000.0"/>
        <s v="66588888.0"/>
        <s v="29918560350.0"/>
        <s v="10000000.0"/>
        <s v="8742253657.0"/>
        <s v="4830171.0"/>
        <s v="110000000.0"/>
        <s v="111392579976"/>
        <s v="1288862.0"/>
        <s v="53252246.0"/>
        <s v="1000000.0"/>
        <s v="17173696076.0"/>
        <s v="6804870174.0"/>
        <s v="273685830.0"/>
        <s v="79384422.0"/>
        <s v="1285690000.0"/>
        <s v="13409472280.0"/>
        <s v="178186311.0"/>
        <s v="1407000000.0"/>
        <s v="528002464.0"/>
        <s v="52915070.0"/>
        <s v="10000000000000"/>
        <s v="98272765.0"/>
        <s v="31587682.0"/>
        <s v="457760868.0"/>
        <s v="25000000.0"/>
        <s v="998999942.0"/>
        <s v="1395076054.0"/>
        <s v="38231697.0"/>
        <s v="219225812.0"/>
        <s v="39609524.0"/>
        <s v="444000000.0"/>
        <s v="40099200.0"/>
        <s v="132046997.0"/>
        <s v="16371024.0"/>
        <s v="19628888.0"/>
        <s v="8724583.0"/>
        <s v="222295208.0"/>
        <s v="61860690.0"/>
        <s v="86999785.0"/>
        <s v="749400.0"/>
        <s v="500000000.0"/>
        <s v="456003900.0"/>
        <s v="424999998.0"/>
        <s v="8000000000000"/>
        <s v="113139200.0"/>
        <s v="14651140.0"/>
        <s v="7198457.0"/>
        <s v="50193754.0"/>
        <s v="3156696.0"/>
        <s v="30133540.0"/>
        <s v="8146001.0"/>
        <s v="5114240.0"/>
        <s v="352000000.0"/>
        <s v="53193831.0"/>
        <s v="203842652.0"/>
        <s v="2805886393.0"/>
        <s v="54445800.0"/>
        <s v="1007768409.0"/>
        <s v="93468691.0"/>
        <s v="402400000.0"/>
        <s v="73197775.0"/>
        <s v="24372277.0"/>
        <s v="2000100000.0"/>
        <s v="59200000.0"/>
        <s v="13162110.0"/>
        <s v="52244767.0"/>
        <s v="28636032247.0"/>
        <s v="65000000.0"/>
        <s v="22848104.0"/>
        <s v="197824.0"/>
        <s v="1374729257.0"/>
        <s v="2617689.0"/>
        <s v="8876594.0"/>
        <s v="40822853.0"/>
        <s v="16388399.0"/>
        <s v="60000000.0"/>
        <s v="100002000.0"/>
        <s v="2455973.0"/>
        <s v="7001623.0"/>
        <s v="22628909.0"/>
        <s v="32105578.0"/>
        <s v="15513947.0"/>
        <s v="2147483647.0"/>
        <s v="127109488.0"/>
        <s v="3141592653.0"/>
        <s v="15572854.0"/>
        <s v="218000000.0"/>
        <s v="184190880.0"/>
        <s v="214172636.0"/>
        <s v="66521586.0"/>
        <s v="130271020.0"/>
        <s v="99632595.0"/>
        <s v="125542958.0"/>
        <s v="2248965.0"/>
        <s v="14736400.0"/>
        <s v="83337000.0"/>
        <s v="6279388.0"/>
        <s v="24842858.0"/>
        <s v="33390496.0"/>
        <s v="3969565.0"/>
        <s v="32433366.0"/>
        <s v="10000000000.0"/>
        <s v="99041903.0"/>
        <s v="825578000.0"/>
        <s v="2703356.0"/>
        <s v="212440282.0"/>
        <s v="72996605.0"/>
        <s v="2229310.0"/>
        <s v="1004371.0"/>
        <s v="16906397.0"/>
        <s v="1800339818.0"/>
        <s v="3361052.0"/>
        <s v="98855150.0"/>
        <s v="6885695758.0"/>
        <s v="466424524.0"/>
        <s v="11265189.0"/>
        <s v="191381257.0"/>
        <s v="76414244.0"/>
        <s v="244430402.0"/>
        <s v="1977786.0"/>
        <s v="218168288.0"/>
        <s v="800000000.0"/>
        <s v="710113.0"/>
        <s v="42000000.0"/>
        <s v="7647621.0"/>
        <s v="610395188.0"/>
        <s v="121281417.0"/>
        <s v="949291063.0"/>
        <s v="167270821.0"/>
        <s v="327154880.0"/>
        <s v="124518891.0"/>
        <s v="616193.0"/>
        <s v="390312753.0"/>
        <s v="5000000000.0"/>
        <s v="1194762.0"/>
        <s v="220000000.0"/>
        <s v="10500000.0"/>
        <s v="22747809.0"/>
        <s v="5483847.0"/>
        <s v="222353023781"/>
        <s v="301963241.0"/>
        <s v="198360471.0"/>
        <s v="340282367.0"/>
        <s v="267000000.0"/>
        <s v="138299984.0"/>
        <s v="5852602.0"/>
        <s v="8860882761.0"/>
        <s v="15819400.0"/>
        <s v="20000000.0"/>
        <s v="20446404.0"/>
        <s v="205525960.0"/>
        <s v="30393295.0"/>
        <s v="65778844.0"/>
        <s v="210000000.0"/>
        <s v="1011211988.0"/>
        <s v="3515109.0"/>
        <s v="369959510.0"/>
        <s v="382152300.0"/>
        <s v="701884009.0"/>
        <s v="8888888888.0"/>
        <s v="21000000.0"/>
        <s v="650000000.0"/>
        <s v="15000000.0"/>
        <s v="3082940.0"/>
        <s v="68536789.0"/>
        <s v="98034272634.0"/>
        <s v="8966549.0"/>
        <s v="46016625.0"/>
        <s v="1837958.0"/>
        <s v="48858600.0"/>
        <s v="9200151.0"/>
        <s v="16714525.0"/>
        <s v="694424103386"/>
        <s v="1861015.0"/>
        <s v="177616440.0"/>
        <s v="62500000.0"/>
        <s v="3000738.0"/>
        <s v="882404911.0"/>
        <s v="248381501.0"/>
        <s v="1268201.0"/>
        <s v="2156543000.0"/>
        <s v="31273319.0"/>
        <s v="29276504.0"/>
        <s v="16572969.0"/>
        <s v="127770641.0"/>
        <s v="11879177.0"/>
        <s v="30000000.0"/>
        <s v="23240139.0"/>
        <s v="50000000.0"/>
        <s v="792537250.0"/>
        <s v="8658139.0"/>
        <s v="32503273.0"/>
        <s v="206075989.0"/>
        <s v="77663987.0"/>
        <s v="25000000000.0"/>
        <s v="10574382.0"/>
        <s v="40659020000.0"/>
        <s v="80000000.0"/>
        <s v="23779365.0"/>
        <s v="101286.0"/>
        <s v="2812073.0"/>
        <s v="15254447.0"/>
        <s v="103242825.0"/>
        <s v="4269597.0"/>
        <s v="37915800.0"/>
        <s v="59184877204.0"/>
        <s v="130940574.0"/>
        <s v="21380350.0"/>
        <s v="9924884.0"/>
        <s v="27081944.0"/>
        <s v="4093736.0"/>
        <s v="40542736.0"/>
        <s v="249308531.0"/>
        <s v="803179.0"/>
        <s v="2428215.0"/>
        <s v="5170430.0"/>
        <s v="1200000000.0"/>
        <s v="45039724.0"/>
        <s v="1250.0"/>
        <s v="13976400.0"/>
        <s v="62759702.0"/>
        <s v="2242500.0"/>
        <s v="62773195.0"/>
        <s v="4066520.0"/>
        <s v="1390236.0"/>
        <s v="3092993.0"/>
        <s v="16714020.0"/>
        <s v="8924667.0"/>
        <s v="4988894.0"/>
        <s v="4572682.0"/>
        <s v="76728659.0"/>
        <s v="227489313.0"/>
        <s v="1809800.0"/>
        <s v="32086595.0"/>
        <s v="15697303.0"/>
        <s v="3564611.0"/>
        <s v="3241124.0"/>
        <s v="3478018899.0"/>
        <s v="1518600250.0"/>
        <s v="5324245.0"/>
        <s v="122707503.0"/>
        <s v="15502850.0"/>
        <s v="2762438.0"/>
        <s v="111085648.0"/>
        <s v="3130390.0"/>
        <s v="18584234.0"/>
        <s v="20867492.0"/>
        <s v="6830540.0"/>
        <s v="16458796.0"/>
        <s v="200685164.0"/>
        <s v="1634691.0"/>
        <s v="13321301.0"/>
        <s v="6268082.0"/>
        <s v="400339746.0"/>
        <s v="110236454.0"/>
        <s v="1308128.0"/>
        <s v="107972766.0"/>
        <s v="22591432.0"/>
        <s v="38601187.0"/>
        <s v="516491889.0"/>
        <s v="36971142697.0"/>
        <s v="15535267.0"/>
        <s v="18142083.0"/>
        <s v="6148324.0"/>
        <s v="116297996.0"/>
        <s v="12248511.0"/>
        <s v="574683675.0"/>
        <s v="12415993.0"/>
        <s v="400000000.0"/>
        <s v="91859176.0"/>
        <s v="16180000.0"/>
        <s v="12517472.0"/>
        <s v="84000000.0"/>
        <s v="24905165134.0"/>
        <s v="629610.0"/>
        <s v="10815966.0"/>
        <s v="9952089.0"/>
        <s v="70782220.0"/>
        <s v="22651286707.0"/>
        <s v="17361680.0"/>
        <s v="13600388.0"/>
        <s v="20650334694.0"/>
        <s v="33356077.0"/>
        <s v="7466284.0"/>
        <s v="19503510.0"/>
        <s v="23271965570.0"/>
        <s v="45019922.0"/>
        <s v="22000850.0"/>
        <s v="25201489.0"/>
        <s v="37816675.0"/>
        <s v="20526400.0"/>
        <s v="6003429666.0"/>
        <s v="4764026.0"/>
        <s v="1129992.0"/>
        <s v="12500000.0"/>
        <s v="535138340560"/>
        <s v="9232839.0"/>
        <s v="488183483.0"/>
        <s v="1014244873.0"/>
        <s v="17727836.0"/>
        <s v="248223390.0"/>
        <s v="126000000.0"/>
        <s v="1000812836.0"/>
        <s v="124777539.0"/>
        <s v="18606639.0"/>
        <s v="104149200.0"/>
        <s v="1036691.0"/>
        <s v="910624824.0"/>
        <s v="4978383.0"/>
        <s v="103181030.0"/>
        <s v="1202476.0"/>
        <s v="47503.0"/>
        <s v="4524960.0"/>
        <s v="24440420.0"/>
        <s v="12529747.0"/>
        <s v="25960250000.0"/>
        <s v="6300000.0"/>
        <s v="14110350.0"/>
        <s v="3956990.0"/>
        <s v="1673383.0"/>
        <s v="1806459.0"/>
        <s v="284541.0"/>
        <s v="520152000.0"/>
        <s v="61657044.0"/>
        <s v="10622560.0"/>
        <s v="200995023.0"/>
        <s v="443168182458"/>
        <s v="2341519.0"/>
        <s v="8035193.0"/>
        <s v="70856246.0"/>
        <s v="115742049.0"/>
        <s v="60200000.0"/>
        <s v="6214485.0"/>
        <s v="44497634.0"/>
        <s v="10189729990.0"/>
        <s v="21591710337.0"/>
        <s v="1273671519.0"/>
        <s v="3315372.0"/>
        <s v="40024368.0"/>
        <s v="23987575.0"/>
        <s v="9995510.0"/>
        <s v="21268092.0"/>
        <s v="4773.0"/>
        <s v="362036283.0"/>
        <s v="6190179.0"/>
        <s v="14857914506.0"/>
        <s v="3285250.0"/>
        <s v="38507883.0"/>
        <s v="11214628.0"/>
        <s v="35944900.0"/>
        <s v="46785866.0"/>
        <s v="1125731896.0"/>
        <s v="130062813.0"/>
        <s v="10721656.0"/>
        <s v="2278150.0"/>
        <s v="6695133.0"/>
        <s v="38602656.0"/>
        <s v="23376718.0"/>
        <s v="1627678.0"/>
        <s v="9398800.0"/>
        <s v="1861531.0"/>
        <s v="30346591.0"/>
        <s v="4470952.0"/>
        <s v="2306603505.0"/>
        <s v="32514916898.0"/>
        <s v="2071013.0"/>
        <s v="7180929.0"/>
        <s v="6428932.0"/>
        <s v="10669343.0"/>
        <s v="44169482.0"/>
        <s v="12110050.0"/>
        <s v="1652770.0"/>
        <s v="170196766.0"/>
        <s v="886395300.0"/>
        <s v="514498580.0"/>
        <s v="157223250.0"/>
        <s v="23870835.0"/>
        <s v="17006179.0"/>
        <s v="107117655.0"/>
        <s v="2572432.0"/>
        <s v="15002308785.0"/>
        <s v="13328561.0"/>
        <s v="98928316.0"/>
        <s v="15868233.0"/>
        <s v="88888888.0"/>
        <s v="551214.0"/>
        <s v="60970085.0"/>
        <s v="10121140.0"/>
        <s v="6545315.0"/>
        <s v="145003010000"/>
        <s v="27793416.0"/>
        <s v="72891.0"/>
        <s v="12212605.0"/>
        <s v="42.0"/>
        <s v="32188891.0"/>
        <s v="209743662753"/>
        <s v="3975459.0"/>
        <s v="2110317.0"/>
        <s v="10415252.0"/>
        <s v="1589449.0"/>
        <s v="23079737.0"/>
        <s v="558000.0"/>
        <s v="2856645470.0"/>
        <s v="41912450.0"/>
        <s v="51.0"/>
        <s v="316832.0"/>
        <s v="3867080.0"/>
        <s v="254153840.0"/>
        <s v="1040490.0"/>
        <s v="57385690.0"/>
        <s v="5463887.0"/>
        <s v="816133118.0"/>
        <s v="20898600.0"/>
        <s v="61095725.0"/>
        <s v="5706997.0"/>
        <s v="19166386.0"/>
        <s v="346674.0"/>
        <s v="84520170.0"/>
        <s v="5575876.0"/>
        <s v="20935289.0"/>
        <s v="6662367704.0"/>
        <s v="1145148.0"/>
        <s v="256878.0"/>
        <s v="1220085.0"/>
        <s v="90421856.0"/>
        <s v="2476893.0"/>
        <s v="15124541.0"/>
        <s v="7077874.0"/>
        <s v="530122960.0"/>
        <s v="189094747.0"/>
        <s v="80949843.0"/>
        <s v="12384976.0"/>
        <s v="79721.0"/>
        <s v="49971340.0"/>
        <s v="109448670.0"/>
        <s v="1627261.0"/>
        <s v="11454533.0"/>
        <s v="8228338.0"/>
        <s v="344046526.0"/>
        <s v="24790100.0"/>
        <s v="29460254.0"/>
        <s v="51530001.0"/>
        <s v="1005623955.0"/>
        <s v="462843.0"/>
        <s v="6668070.0"/>
        <s v="11855487.0"/>
        <s v="510802961.0"/>
        <s v="20225495.0"/>
        <s v="2279135.0"/>
        <s v="31512613.0"/>
        <s v="18671.0"/>
        <s v="1295878.0"/>
        <s v="14848522.0"/>
        <s v="186138040.0"/>
        <s v="3965716.0"/>
        <s v="592894.0"/>
        <s v="25445750.0"/>
        <s v="6240390800.0"/>
        <s v="4394874.0"/>
        <s v="8209822.0"/>
        <s v="14083450.0"/>
        <s v="253821590.0"/>
        <s v="8162801.0"/>
        <s v="36032868.0"/>
        <s v="1.0"/>
        <s v="161666000.0"/>
        <s v="91972586.0"/>
        <s v="811201551.0"/>
        <s v="33565379416.0"/>
        <s v="54096601.0"/>
        <s v="10421300.0"/>
        <s v="1600044431.0"/>
        <s v="816061.0"/>
        <s v="1874646.0"/>
        <s v="1046043634.0"/>
        <s v="10000221.0"/>
        <s v="709778502.0"/>
        <s v="251706412.0"/>
        <s v="465755.0"/>
        <s v="1002391.0"/>
        <s v="11433103485.0"/>
        <s v="20999088.0"/>
        <s v="90596274910.0"/>
        <s v="822884672.0"/>
        <s v="134063.0"/>
        <s v="101168328395"/>
        <s v="10141172834.0"/>
        <s v="6056587.0"/>
        <s v="20996318099.0"/>
        <s v="60473221.0"/>
        <s v="2400000000.0"/>
        <s v="40000000.0"/>
        <s v="9999992.0"/>
        <s v="73135829.0"/>
        <s v="3421356641.0"/>
        <s v="166773132.0"/>
        <s v="15391998665.0"/>
        <s v="15320585365.0"/>
        <s v="1812878667.0"/>
        <s v="3433358762.0"/>
        <s v="5762000.0"/>
        <s v="76925527.0"/>
        <s v="97415544.0"/>
        <s v="8216446.0"/>
        <s v="888000000.0"/>
        <s v="787126712.0"/>
        <s v="17574970.0"/>
        <s v="65290635.0"/>
        <s v="1990891.0"/>
        <s v="101570854.0"/>
        <s v="14816207500.0"/>
        <s v="44162349.0"/>
        <s v="1318207629.0"/>
        <s v="24700248.0"/>
        <s v="5758653.0"/>
        <s v="129032781759"/>
        <s v="65171010.0"/>
        <s v="562095450.0"/>
        <s v="19990200.0"/>
        <s v="554855.0"/>
        <s v="43699481.0"/>
        <s v="11805615.0"/>
        <s v="3047835.0"/>
        <s v="59696358.0"/>
        <s v="34556.0"/>
        <s v="459671172.0"/>
        <s v="195471.0"/>
        <s v="485109416.0"/>
        <s v="20982524.0"/>
        <s v="1164415.0"/>
        <s v="49898202.0"/>
        <s v="4699301.0"/>
        <s v="105008253.0"/>
        <s v="24101381.0"/>
        <s v="2949157.0"/>
        <s v="296216.0"/>
        <s v="210806.0"/>
        <s v="322214524.0"/>
        <s v="2612680.0"/>
        <s v="27100000.0"/>
        <s v="20909843034.0"/>
        <s v="565134332.0"/>
        <s v="145814541.0"/>
        <s v="111950702.0"/>
        <s v="16373788.0"/>
        <s v="14937439.0"/>
        <s v="1414054562.0"/>
        <s v="13379987.0"/>
        <s v="45895545000.0"/>
        <s v="125279775.0"/>
        <s v="102088278429"/>
        <s v="922341141873172"/>
        <s v="29036569.0"/>
        <s v="33357997.0"/>
        <s v="9586367.0"/>
        <s v="13053601.0"/>
        <s v="14491014421.0"/>
        <s v="183606551.0"/>
        <s v="4186712.0"/>
        <s v="25596821.0"/>
        <s v="1134209254.0"/>
        <s v="250000000.0"/>
        <s v="16857400.0"/>
        <s v="7799025.0"/>
        <s v="15142121.0"/>
        <s v="26838090.0"/>
        <s v="8820.0"/>
        <s v="156508190248"/>
        <s v="100040708.0"/>
        <s v="19117129.0"/>
        <s v="9106714.0"/>
        <s v="248063433.0"/>
        <s v="15122697.0"/>
        <s v="17171382.0"/>
        <s v="105143596.0"/>
        <s v="6365285.0"/>
        <s v="84248494.0"/>
        <s v="10064287.0"/>
        <s v="7005480.0"/>
        <s v="118953713.0"/>
        <s v="10025186872.0"/>
        <s v="66876281414.0"/>
        <s v="3472983.0"/>
        <s v="406568581.0"/>
        <s v="5445431.0"/>
        <s v="54032769.0"/>
        <s v="2866607586.0"/>
        <s v="10042537681.0"/>
        <s v="192774628.0"/>
        <s v="13046431.0"/>
        <s v="99976323.0"/>
        <s v="2448402.0"/>
        <s v="1259816434.0"/>
        <s v="3111603.0"/>
        <s v="90.0"/>
        <s v="5000000.0"/>
        <s v="493863915.0"/>
        <s v="2429126009.0"/>
        <s v="6044911.0"/>
        <s v="14701000.0"/>
        <s v="297891209.0"/>
        <s v="12818967.0"/>
        <s v="22154156.0"/>
        <s v="43536800.0"/>
        <s v="255027857.0"/>
        <s v="401421401.0"/>
        <s v="90741506.0"/>
        <s v="33954324.0"/>
        <s v="751585.0"/>
        <s v="2093399315.0"/>
        <s v="71234301.0"/>
        <s v="2000683485.0"/>
        <s v="3550350.0"/>
        <s v="21020383.0"/>
        <s v="9848485.0"/>
        <s v="63993275.0"/>
        <s v="630343.0"/>
        <s v="140262505.0"/>
        <s v="19844745.0"/>
        <s v="23042604.0"/>
        <s v="1220161.0"/>
        <s v="98412.0"/>
        <s v="930767.0"/>
        <s v="299480.0"/>
        <s v="1405450.0"/>
        <s v="17465159.0"/>
        <s v="19089600.0"/>
        <s v="911527489.0"/>
        <s v="4195132.0"/>
        <s v="169598616.0"/>
        <s v="5368934.0"/>
        <s v="89502514.0"/>
        <s v="6017350.0"/>
        <s v="7093108.0"/>
        <s v="74107896.0"/>
        <s v="28279074.0"/>
        <s v="75614500.0"/>
        <s v="23775537.0"/>
        <s v="106080229.0"/>
        <s v="12011453.0"/>
        <s v="1074095.0"/>
        <s v="22406021.0"/>
        <s v="7084538.0"/>
        <s v="25999315.0"/>
        <s v="8128311.0"/>
        <s v="16370399.0"/>
        <s v="5702048.0"/>
        <s v="793701200.0"/>
        <s v="11680376.0"/>
        <s v="9702497.0"/>
        <s v="73729962.0"/>
        <s v="21319485.0"/>
        <s v="2449568.0"/>
        <s v="22298088.0"/>
        <s v="393459356.0"/>
        <s v="1251855418.0"/>
        <s v="7024402.0"/>
        <s v="206601854.0"/>
        <s v="4228672.0"/>
        <s v="1207310.0"/>
        <s v="861099.0"/>
        <s v="18547845.0"/>
        <s v="7681431.0"/>
        <s v="1513704.0"/>
        <s v="425094.0"/>
        <s v="12666916683.0"/>
        <s v="1450359.0"/>
        <s v="11361817.0"/>
        <s v="8990019.0"/>
        <s v="7323359.0"/>
        <s v="77777777.0"/>
        <s v="1095224.0"/>
        <s v="300.0"/>
        <s v="878544.0"/>
        <s v="5087925.0"/>
        <s v="20181636.0"/>
        <s v="8030000.0"/>
        <s v="45887218.0"/>
        <s v="7398645.0"/>
        <s v="1316179.0"/>
        <s v="2429219.0"/>
        <s v="23905669976.0"/>
        <s v="240854.0"/>
        <s v="10123200.0"/>
        <s v="7342428.0"/>
        <s v="14298972.0"/>
        <s v="12546625.0"/>
        <s v="200019300.0"/>
        <s v="20898106.0"/>
        <s v="20821709.0"/>
        <s v="4334350.0"/>
        <s v="3115258.0"/>
        <s v="6243840.0"/>
        <s v="872830.0"/>
        <s v="38669634.0"/>
        <s v="12462620.0"/>
        <s v="18625017.0"/>
        <s v="594105100.0"/>
        <s v="4500000.0"/>
        <s v="16110893.0"/>
        <s v="268781750.0"/>
        <s v="19608620337.0"/>
        <s v="3372875244.0"/>
        <s v="6420350.0"/>
        <s v="10499996.0"/>
        <s v="83450403.0"/>
        <s v="10789954.0"/>
        <s v="19615019.0"/>
        <s v="20520514.0"/>
        <s v="2507.0"/>
        <s v="1600000.0"/>
        <s v="2261279.0"/>
        <s v="22262780.0"/>
        <s v="630795971.0"/>
        <s v="30227750.0"/>
        <s v="299494290.0"/>
        <s v="600344291.0"/>
        <s v="79541001.0"/>
        <s v="36646779.0"/>
        <s v="109508864.0"/>
        <s v="101276976.0"/>
        <s v="1542175.0"/>
        <s v="7155671.0"/>
        <s v="11821728.0"/>
        <s v="608557394.0"/>
        <s v="4829945.0"/>
        <s v="20245510.0"/>
        <s v="2155.0"/>
        <s v="2524686.0"/>
        <s v="420000.0"/>
        <s v="4526324.0"/>
        <s v="1384879.0"/>
        <s v="1694171.0"/>
        <s v="79719140.0"/>
        <s v="1195525.0"/>
        <s v="10000249843.0"/>
        <s v="32565300.0"/>
        <s v="88213.0"/>
        <s v="27251500.0"/>
        <s v="10079270.0"/>
        <s v="7561891.0"/>
        <s v="1595266.0"/>
        <s v="5550102.0"/>
        <s v="60000001.0"/>
        <s v="985756.0"/>
        <s v="2453240.0"/>
        <s v="9601412.0"/>
        <s v="1635124964.0"/>
        <s v="2622163.0"/>
        <s v="894026.0"/>
        <s v="476918.0"/>
        <s v="3064800.0"/>
        <s v="23370501.0"/>
        <s v="6000000.0"/>
        <s v="5091200.0"/>
        <s v="2581970.0"/>
        <s v="159347.0"/>
        <s v="5194373.0"/>
        <s v="60132654.0"/>
        <s v="50765854.0"/>
        <s v="35220238.0"/>
        <s v="5878439.0"/>
        <s v="8888888.0"/>
        <s v="704882.0"/>
        <s v="852366.0"/>
        <s v="4005012.0"/>
        <s v="107829281.0"/>
        <s v="66627.0"/>
        <s v="2000000000.0"/>
        <s v="111110.0"/>
        <s v="10127917.0"/>
        <s v="49983870.0"/>
        <s v="201284316.0"/>
        <s v="4734367.0"/>
        <s v="932656584.0"/>
        <s v="1002753201.0"/>
        <s v="10010100.0"/>
        <s v="148587140.0"/>
        <s v="10541442931.0"/>
        <m/>
        <s v="465051448.0"/>
        <s v="99990000.0"/>
        <s v="99000001.0"/>
        <s v="23288760.0"/>
        <s v="28634286.0"/>
        <s v="328533587.0"/>
        <s v="43534505.0"/>
        <s v="560211620.0"/>
        <s v="19003881978.0"/>
        <s v="84594400.0"/>
        <s v="2294245615.0"/>
        <s v="90899180.0"/>
        <s v="9000000000.0"/>
        <s v="646359158.0"/>
        <s v="62000000.0"/>
        <s v="170622047.0"/>
        <s v="2500000.0"/>
        <s v="61022232.0"/>
        <s v="50440010.0"/>
        <s v="763931.0"/>
        <s v="350053400.0"/>
        <s v="70145114.0"/>
        <s v="501237839.0"/>
        <s v="5104698.0"/>
        <s v="42400870.0"/>
        <s v="9065126.0"/>
        <s v="750205271.0"/>
        <s v="5011289.0"/>
        <s v="8901692.0"/>
        <s v="32045263.0"/>
        <s v="92233720369.0"/>
        <s v="264639363.0"/>
        <s v="569229.0"/>
        <s v="80610541.0"/>
        <s v="283378229.0"/>
        <s v="8001599000.0"/>
        <s v="12390920701.0"/>
        <s v="237614.0"/>
        <s v="924669.0"/>
        <s v="43710120.0"/>
        <s v="57968072167.0"/>
        <s v="900096049.0"/>
        <s v="975608.0"/>
        <s v="768753.0"/>
        <s v="31411973669.0"/>
        <s v="30993751760.0"/>
        <s v="2500124.0"/>
        <s v="190008300.0"/>
        <s v="13281129.0"/>
        <s v="1378369.0"/>
        <s v="1068669648.0"/>
        <s v="3415923.0"/>
        <s v="101928280.0"/>
        <s v="84078950.0"/>
        <s v="37300250.0"/>
        <s v="20128423.0"/>
        <s v="1052496651.0"/>
        <s v="604880000.0"/>
        <s v="6666666.0"/>
        <s v="29245287.0"/>
        <s v="5925522.0"/>
        <s v="19800001.0"/>
        <s v="21255800.0"/>
        <s v="42249.0"/>
        <s v="5637047214.0"/>
        <s v="76682.0"/>
        <s v="3407292.0"/>
        <s v="1352120000.0"/>
        <s v="18446748239.0"/>
        <s v="6703386.0"/>
        <s v="549267534.0"/>
        <s v="20707629255.0"/>
        <s v="24523275.0"/>
        <s v="36309296.0"/>
        <s v="10139935.0"/>
        <s v="441139.0"/>
        <s v="17888425.0"/>
        <s v="77653724065.0"/>
        <s v="10263290326.0"/>
        <s v="22506900067.0"/>
        <s v="15005722.0"/>
        <s v="301004896.0"/>
        <s v="497214120.0"/>
        <s v="499001986509"/>
        <s v="54000056.0"/>
        <s v="660203277.0"/>
      </sharedItems>
    </cacheField>
    <cacheField name="Coin.percent_change_1h" numFmtId="0">
      <sharedItems containsBlank="1" count="459">
        <s v="0.09"/>
        <s v="-0.43"/>
        <s v="0.54"/>
        <s v="-0.2"/>
        <s v="0.28"/>
        <s v="1.69"/>
        <s v="-0.3"/>
        <s v="0.41"/>
        <s v="-0.69"/>
        <s v="-0.14"/>
        <s v="0.34"/>
        <s v="-0.06"/>
        <s v="0.04"/>
        <s v="0.7"/>
        <s v="0.01"/>
        <s v="-0.01"/>
        <s v="-0.13"/>
        <s v="-0.75"/>
        <s v="0.16"/>
        <s v="0.35"/>
        <s v="1.72"/>
        <s v="-1.27"/>
        <s v="-1.16"/>
        <s v="2.39"/>
        <s v="0.02"/>
        <s v="-0.23"/>
        <s v="-1.73"/>
        <s v="1.03"/>
        <s v="-0.59"/>
        <s v="0.27"/>
        <s v="-0.31"/>
        <s v="0.87"/>
        <s v="1.55"/>
        <s v="0.31"/>
        <s v="0.94"/>
        <s v="-1.15"/>
        <s v="-1.92"/>
        <s v="-1.03"/>
        <s v="-17.92"/>
        <s v="-0.32"/>
        <s v="0.84"/>
        <s v="0.61"/>
        <s v="-0.46"/>
        <s v="0.15"/>
        <s v="0.2"/>
        <s v="-0.73"/>
        <s v="1.01"/>
        <s v="0.67"/>
        <s v="-0.5"/>
        <s v="-0.49"/>
        <s v="-1.96"/>
        <s v="-0.79"/>
        <s v="-0.4"/>
        <s v="0.76"/>
        <s v="-2.57"/>
        <s v="-2.69"/>
        <s v="-0.7"/>
        <s v="-0.17"/>
        <s v="0.25"/>
        <s v="-4.62"/>
        <s v="-4.9"/>
        <s v="-3.77"/>
        <s v="-0.83"/>
        <s v="1.18"/>
        <s v="0.72"/>
        <s v="-7.74"/>
        <s v="-1.02"/>
        <s v="-2.28"/>
        <s v="-0.05"/>
        <s v="-8.52"/>
        <s v="0.95"/>
        <s v="-1.37"/>
        <s v="-3.82"/>
        <s v="-0.18"/>
        <s v="-0.8"/>
        <s v="0.75"/>
        <s v="-1.87"/>
        <s v="-0.63"/>
        <s v="-2.51"/>
        <s v="-0.09"/>
        <s v="-2.87"/>
        <s v="1.44"/>
        <s v="-0.54"/>
        <s v="0.51"/>
        <s v="-2.75"/>
        <s v="-0.03"/>
        <s v="-0.6"/>
        <s v="0.86"/>
        <s v="-2.36"/>
        <s v="0.1"/>
        <s v="-1.19"/>
        <s v="-0.77"/>
        <s v="-2.34"/>
        <s v="0.08"/>
        <s v="-0.36"/>
        <s v="4.91"/>
        <s v="0.62"/>
        <s v="-2.04"/>
        <s v="1.56"/>
        <s v="1.21"/>
        <s v="4.51"/>
        <s v="-0.98"/>
        <s v="0.21"/>
        <s v="-0.02"/>
        <s v="22.63"/>
        <s v="2.1"/>
        <s v="-1.54"/>
        <s v="0.43"/>
        <s v="-0.67"/>
        <s v="1.64"/>
        <s v="-1.7"/>
        <s v="-1.45"/>
        <s v="-1.3"/>
        <s v="-2.54"/>
        <s v="1.51"/>
        <s v="-0.62"/>
        <s v="3.19"/>
        <s v="0.29"/>
        <s v="0.33"/>
        <s v="-1.31"/>
        <s v="-1.9"/>
        <s v="-5.13"/>
        <s v="-1.09"/>
        <s v="0.74"/>
        <s v="-4.37"/>
        <s v="0.53"/>
        <s v="-51.71"/>
        <s v="-1.28"/>
        <s v="-2.25"/>
        <s v="-0.84"/>
        <s v="-1.06"/>
        <s v="0.73"/>
        <s v="1.16"/>
        <s v="-3.84"/>
        <s v="0.3"/>
        <s v="-0.66"/>
        <s v="-3.04"/>
        <s v="-1.46"/>
        <s v="12.4"/>
        <s v="-3.41"/>
        <s v="0.12"/>
        <s v="0.32"/>
        <s v="1.49"/>
        <s v="1.28"/>
        <s v="0.79"/>
        <s v="-1.55"/>
        <s v="-4.98"/>
        <s v="-2.41"/>
        <s v="-1.12"/>
        <s v="-1.56"/>
        <s v="1.74"/>
        <s v="-2.01"/>
        <s v="-0.41"/>
        <s v="6.32"/>
        <s v="0.18"/>
        <s v="-0.12"/>
        <s v="-0.42"/>
        <s v="0.13"/>
        <s v="-24.6"/>
        <s v="-0.25"/>
        <s v="1.22"/>
        <s v="7.48"/>
        <s v="0.11"/>
        <s v="-0.64"/>
        <s v="5.97"/>
        <s v="0.06"/>
        <s v="1.06"/>
        <s v="3.36"/>
        <s v="0.96"/>
        <s v="1.26"/>
        <s v="-3.08"/>
        <s v="6.99"/>
        <s v="-5.29"/>
        <s v="-5.76"/>
        <s v="-0.26"/>
        <s v="1.39"/>
        <s v="0.07"/>
        <s v="-4.69"/>
        <s v="1.24"/>
        <s v="-0.89"/>
        <s v="-2.33"/>
        <s v="0.71"/>
        <s v="-1.43"/>
        <s v="0.44"/>
        <s v="4.16"/>
        <s v="0.6"/>
        <s v="2.31"/>
        <s v="-1.33"/>
        <s v="3.37"/>
        <s v="0.46"/>
        <s v="1.04"/>
        <s v="-1.61"/>
        <s v="0.23"/>
        <s v="-1.38"/>
        <s v="-3.91"/>
        <s v="0.05"/>
        <s v="-8.81"/>
        <s v="1.7"/>
        <s v="-0.1"/>
        <s v="1.54"/>
        <s v="0.48"/>
        <s v="0.69"/>
        <s v="4.14"/>
        <s v="0.17"/>
        <s v="-1.01"/>
        <s v="0.65"/>
        <s v="4.33"/>
        <s v="-3.42"/>
        <s v="-2.03"/>
        <s v="0.82"/>
        <s v="0.19"/>
        <s v="-4.7"/>
        <s v="-5.11"/>
        <s v="4.52"/>
        <s v="-0.97"/>
        <s v="-3.95"/>
        <s v="2.65"/>
        <s v="1.23"/>
        <s v="-0.55"/>
        <s v="0.58"/>
        <s v="0.77"/>
        <s v="-1.74"/>
        <s v="0.14"/>
        <s v="-1.64"/>
        <s v="-0.22"/>
        <s v="1.77"/>
        <s v="-3.78"/>
        <s v="11.08"/>
        <s v="-0.78"/>
        <s v="-1.72"/>
        <s v="12.83"/>
        <s v="2.03"/>
        <s v="-0.0"/>
        <s v="-0.85"/>
        <s v="-1.41"/>
        <s v="28.98"/>
        <s v="-2.2"/>
        <s v="4.77"/>
        <s v="-1.07"/>
        <s v="0.22"/>
        <s v="-1.81"/>
        <s v="-0.72"/>
        <s v="4.2"/>
        <s v="4.45"/>
        <s v="-13.16"/>
        <s v="1.1"/>
        <s v="6.22"/>
        <s v="-0.56"/>
        <s v="-0.34"/>
        <s v="-0.51"/>
        <s v="3.91"/>
        <s v="37.67"/>
        <s v="1.87"/>
        <s v="0.38"/>
        <s v="6.37"/>
        <s v="-8.61"/>
        <s v="-0.11"/>
        <s v="2.75"/>
        <s v="-1.84"/>
        <s v="-10.5"/>
        <s v="0.24"/>
        <s v="0.91"/>
        <s v="7.06"/>
        <s v="2.2"/>
        <s v="0.36"/>
        <s v="-3.55"/>
        <s v="-0.33"/>
        <s v="-0.35"/>
        <s v="5.54"/>
        <s v="-20.11"/>
        <s v="-8.65"/>
        <s v="1.53"/>
        <s v="-15.86"/>
        <s v="76.33"/>
        <s v="-2.84"/>
        <s v="1.35"/>
        <s v="4.32"/>
        <s v="2.01"/>
        <s v="-1.98"/>
        <s v="-4.17"/>
        <s v="0.8"/>
        <s v="-0.39"/>
        <s v="0.5"/>
        <s v="-3.61"/>
        <s v="0.99"/>
        <s v="-0.08"/>
        <s v="-3.89"/>
        <s v="0.93"/>
        <s v="-0.71"/>
        <s v="-1.47"/>
        <s v="1.46"/>
        <s v="0.64"/>
        <s v="-6.39"/>
        <s v="-2.0"/>
        <s v="2.83"/>
        <s v="-0.86"/>
        <s v="1.71"/>
        <s v="-1.18"/>
        <s v="33.66"/>
        <s v="-1.68"/>
        <s v="-0.15"/>
        <s v="-8.41"/>
        <s v="2.32"/>
        <s v="-3.09"/>
        <s v="6.06"/>
        <s v="7.07"/>
        <s v="3.05"/>
        <s v="-25.02"/>
        <s v="-10.8"/>
        <s v="-1.17"/>
        <s v="2.68"/>
        <s v="7.58"/>
        <s v="-3.54"/>
        <s v="0.56"/>
        <s v="-11.45"/>
        <s v="-3.12"/>
        <s v="3.2"/>
        <s v="2.14"/>
        <s v="8.32"/>
        <s v="-2.81"/>
        <s v="-8.84"/>
        <s v="-0.37"/>
        <s v="6.72"/>
        <s v="-1.05"/>
        <s v="-44.89"/>
        <s v="1.13"/>
        <s v="4.93"/>
        <s v="-5.16"/>
        <s v="-3.74"/>
        <s v="-2.46"/>
        <s v="-0.94"/>
        <s v="-24.67"/>
        <s v="3.59"/>
        <s v="-7.07"/>
        <s v="0.55"/>
        <s v="-4.14"/>
        <s v="-35.72"/>
        <s v="4.94"/>
        <s v="2.05"/>
        <s v="-3.4"/>
        <s v="-3.71"/>
        <s v="20.44"/>
        <s v="-0.04"/>
        <s v="-13.84"/>
        <s v="10.14"/>
        <s v="-6.22"/>
        <s v="33.89"/>
        <s v="-15.49"/>
        <s v="14.74"/>
        <s v="3.4"/>
        <s v="3.53"/>
        <s v="-7.88"/>
        <s v="-2.86"/>
        <s v="-1.5"/>
        <s v="19.18"/>
        <m/>
        <s v="1.38"/>
        <s v="-0.27"/>
        <s v="0.52"/>
        <s v="2.79"/>
        <s v="4.5"/>
        <s v="-23.63"/>
        <s v="0.37"/>
        <s v="-0.38"/>
        <s v="0.03"/>
        <s v="1.52"/>
        <s v="-0.57"/>
        <s v="11.4"/>
        <s v="1.25"/>
        <s v="0.4"/>
        <s v="-1.21"/>
        <s v="11.89"/>
        <s v="-0.44"/>
        <s v="-2.16"/>
        <s v="6.98"/>
        <s v="-21.82"/>
        <s v="3.46"/>
        <s v="0.26"/>
        <s v="4.12"/>
        <s v="-8.42"/>
        <s v="-2.23"/>
        <s v="-5.02"/>
        <s v="4.81"/>
        <s v="6.64"/>
        <s v="12.99"/>
        <s v="2.07"/>
        <s v="-27.83"/>
        <s v="-0.16"/>
        <s v="1.43"/>
        <s v="-17.52"/>
        <s v="-1.49"/>
        <s v="-2.3"/>
        <s v="6.9"/>
        <s v="3.77"/>
        <s v="8.17"/>
        <s v="-4.35"/>
        <s v="8.7"/>
        <s v="1.81"/>
        <s v="-5.26"/>
        <s v="3.34"/>
        <s v="8.88"/>
        <s v="-23.57"/>
        <s v="-20.03"/>
        <s v="3.33"/>
        <s v="17.92"/>
        <s v="-5.15"/>
        <s v="0.49"/>
        <s v="-9.13"/>
        <s v="2.27"/>
        <s v="-7.6"/>
        <s v="9.06"/>
        <s v="1.42"/>
        <s v="-4.78"/>
        <s v="1.02"/>
        <s v="0.0"/>
        <s v="0.85"/>
        <s v="-3.18"/>
        <s v="-4.74"/>
        <s v="2.26"/>
        <s v="4.74"/>
        <s v="7.86"/>
        <s v="6.01"/>
        <s v="-2.66"/>
        <s v="5.5"/>
        <s v="-10.34"/>
        <s v="-39.44"/>
        <s v="-4.31"/>
        <s v="-3.83"/>
        <s v="17.26"/>
        <s v="14.36"/>
        <s v="10.94"/>
        <s v="25.94"/>
        <s v="-1.24"/>
        <s v="-1.08"/>
        <s v="5.98"/>
        <s v="-3.85"/>
        <s v="36.12"/>
        <s v="5.47"/>
        <s v="-0.53"/>
        <s v="1.96"/>
        <s v="27.7"/>
        <s v="-0.19"/>
        <s v="1.47"/>
        <s v="10.4"/>
        <s v="-3.27"/>
        <s v="-0.07"/>
        <s v="1.08"/>
        <s v="-22.62"/>
        <s v="12.18"/>
        <s v="-0.47"/>
        <s v="1.0"/>
        <s v="-3.32"/>
        <s v="3.11"/>
        <s v="33.54"/>
        <s v="0.47"/>
        <s v="2.67"/>
        <s v="1.5"/>
        <s v="-5.07"/>
        <s v="0.88"/>
      </sharedItems>
    </cacheField>
    <cacheField name="Coin.percent_change_24h" numFmtId="0">
      <sharedItems containsBlank="1" count="916">
        <s v="0.77"/>
        <s v="3.95"/>
        <s v="-1.36"/>
        <s v="0.39"/>
        <s v="2.7"/>
        <s v="-1.97"/>
        <s v="4.68"/>
        <s v="-7.17"/>
        <s v="-0.31"/>
        <s v="-0.62"/>
        <s v="1.56"/>
        <s v="-0.46"/>
        <s v="-1.56"/>
        <s v="-1.41"/>
        <s v="-3.39"/>
        <s v="0.01"/>
        <s v="-14.98"/>
        <s v="0.05"/>
        <s v="0.9"/>
        <s v="32.1"/>
        <s v="3.58"/>
        <s v="-1.03"/>
        <s v="8.23"/>
        <s v="8.32"/>
        <s v="2.1"/>
        <s v="-4.14"/>
        <s v="-0.78"/>
        <s v="10.07"/>
        <s v="-3.01"/>
        <s v="-5.9"/>
        <s v="0.98"/>
        <s v="7.55"/>
        <s v="-14.66"/>
        <s v="13.49"/>
        <s v="-1.46"/>
        <s v="-6.02"/>
        <s v="-4.15"/>
        <s v="5.32"/>
        <s v="-12.38"/>
        <s v="0.58"/>
        <s v="10.58"/>
        <s v="-0.98"/>
        <s v="5.05"/>
        <s v="1.31"/>
        <s v="-8.17"/>
        <s v="3.52"/>
        <s v="-10.44"/>
        <s v="-0.93"/>
        <s v="2.15"/>
        <s v="-8.89"/>
        <s v="1.46"/>
        <s v="4.91"/>
        <s v="3.28"/>
        <s v="2.65"/>
        <s v="-4.51"/>
        <s v="-3.55"/>
        <s v="-3.15"/>
        <s v="1.1"/>
        <s v="-4.27"/>
        <s v="-1.63"/>
        <s v="0.65"/>
        <s v="4.1"/>
        <s v="9.82"/>
        <s v="8.16"/>
        <s v="3.71"/>
        <s v="2.81"/>
        <s v="11.75"/>
        <s v="22.81"/>
        <s v="-11.59"/>
        <s v="-1.85"/>
        <s v="-8.55"/>
        <s v="-4.28"/>
        <s v="4.66"/>
        <s v="-2.52"/>
        <s v="4.37"/>
        <s v="12.1"/>
        <s v="-3.81"/>
        <s v="3.85"/>
        <s v="4.58"/>
        <s v="-9.83"/>
        <s v="-1.79"/>
        <s v="-6.91"/>
        <s v="-7.62"/>
        <s v="-15.93"/>
        <s v="-0.09"/>
        <s v="5.84"/>
        <s v="-6.54"/>
        <s v="-3.12"/>
        <s v="-14.87"/>
        <s v="-4.7"/>
        <s v="-7.2"/>
        <s v="-3.07"/>
        <s v="-5.1"/>
        <s v="-3.0"/>
        <s v="2.92"/>
        <s v="-2.9"/>
        <s v="0.97"/>
        <s v="-9.73"/>
        <s v="2.46"/>
        <s v="-8.73"/>
        <s v="-2.75"/>
        <s v="50.71"/>
        <s v="-1.09"/>
        <s v="-1.32"/>
        <s v="-5.31"/>
        <s v="3.47"/>
        <s v="-3.98"/>
        <s v="14.54"/>
        <m/>
        <s v="-6.81"/>
        <s v="5.07"/>
        <s v="-0.44"/>
        <s v="-0.49"/>
        <s v="12.57"/>
        <s v="4.48"/>
        <s v="1.3"/>
        <s v="0.4"/>
        <s v="-5.42"/>
        <s v="0.93"/>
        <s v="25.3"/>
        <s v="-5.22"/>
        <s v="-12.67"/>
        <s v="-9.13"/>
        <s v="-1.06"/>
        <s v="4.39"/>
        <s v="-8.12"/>
        <s v="-0.53"/>
        <s v="0.75"/>
        <s v="9.76"/>
        <s v="-15.64"/>
        <s v="-1.0"/>
        <s v="22.28"/>
        <s v="1.76"/>
        <s v="-0.17"/>
        <s v="-1.45"/>
        <s v="-1.21"/>
        <s v="-1.11"/>
        <s v="-5.01"/>
        <s v="8.27"/>
        <s v="-3.61"/>
        <s v="-15.18"/>
        <s v="9.03"/>
        <s v="-1.82"/>
        <s v="-2.11"/>
        <s v="-19.23"/>
        <s v="5.56"/>
        <s v="18.31"/>
        <s v="-0.61"/>
        <s v="14.12"/>
        <s v="13.38"/>
        <s v="-0.38"/>
        <s v="-0.2"/>
        <s v="-11.09"/>
        <s v="-6.32"/>
        <s v="0.16"/>
        <s v="-0.88"/>
        <s v="-0.14"/>
        <s v="3.35"/>
        <s v="0.07"/>
        <s v="-3.46"/>
        <s v="-8.61"/>
        <s v="2.02"/>
        <s v="2.53"/>
        <s v="60.69"/>
        <s v="-8.41"/>
        <s v="5.06"/>
        <s v="-10.37"/>
        <s v="-5.57"/>
        <s v="-12.23"/>
        <s v="0.84"/>
        <s v="-3.86"/>
        <s v="6.16"/>
        <s v="-3.63"/>
        <s v="7.45"/>
        <s v="0.64"/>
        <s v="-3.05"/>
        <s v="5.37"/>
        <s v="0.51"/>
        <s v="1.92"/>
        <s v="-1.15"/>
        <s v="-1.98"/>
        <s v="4.47"/>
        <s v="-12.5"/>
        <s v="-2.58"/>
        <s v="-2.97"/>
        <s v="-5.36"/>
        <s v="-8.25"/>
        <s v="-1.96"/>
        <s v="19.92"/>
        <s v="14.95"/>
        <s v="-4.87"/>
        <s v="-3.1"/>
        <s v="10.99"/>
        <s v="-1.65"/>
        <s v="0.82"/>
        <s v="-7.54"/>
        <s v="-3.13"/>
        <s v="2.31"/>
        <s v="-3.31"/>
        <s v="4.77"/>
        <s v="-4.88"/>
        <s v="-0.34"/>
        <s v="3.8"/>
        <s v="4.45"/>
        <s v="6.01"/>
        <s v="23.11"/>
        <s v="9.16"/>
        <s v="-1.54"/>
        <s v="5.03"/>
        <s v="12.45"/>
        <s v="-0.15"/>
        <s v="2.87"/>
        <s v="-13.85"/>
        <s v="3.23"/>
        <s v="-5.43"/>
        <s v="-3.75"/>
        <s v="-10.2"/>
        <s v="4.26"/>
        <s v="0.25"/>
        <s v="-1.12"/>
        <s v="3.94"/>
        <s v="-43.06"/>
        <s v="-5.39"/>
        <s v="32.66"/>
        <s v="-0.32"/>
        <s v="-7.53"/>
        <s v="-5.18"/>
        <s v="-2.95"/>
        <s v="-8.46"/>
        <s v="-13.86"/>
        <s v="-0.83"/>
        <s v="2.8"/>
        <s v="1.44"/>
        <s v="-67.92"/>
        <s v="-1.64"/>
        <s v="-2.19"/>
        <s v="-1.69"/>
        <s v="8.88"/>
        <s v="62.68"/>
        <s v="0.74"/>
        <s v="-5.12"/>
        <s v="1.59"/>
        <s v="6.59"/>
        <s v="3.06"/>
        <s v="-6.6"/>
        <s v="3.67"/>
        <s v="9.61"/>
        <s v="3.55"/>
        <s v="4.84"/>
        <s v="1.24"/>
        <s v="-2.55"/>
        <s v="0.49"/>
        <s v="-0.21"/>
        <s v="13.05"/>
        <s v="-2.73"/>
        <s v="-4.56"/>
        <s v="-13.4"/>
        <s v="-3.29"/>
        <s v="-11.87"/>
        <s v="5.77"/>
        <s v="-14.3"/>
        <s v="62.82"/>
        <s v="-1.25"/>
        <s v="-12.85"/>
        <s v="-11.38"/>
        <s v="-9.54"/>
        <s v="64.63"/>
        <s v="4.57"/>
        <s v="-2.56"/>
        <s v="0.76"/>
        <s v="0.63"/>
        <s v="-3.36"/>
        <s v="-1.84"/>
        <s v="-0.99"/>
        <s v="-0.03"/>
        <s v="-1.02"/>
        <s v="20.04"/>
        <s v="0.42"/>
        <s v="-9.09"/>
        <s v="3.15"/>
        <s v="3.45"/>
        <s v="-5.26"/>
        <s v="5.54"/>
        <s v="-7.21"/>
        <s v="-1.42"/>
        <s v="1.66"/>
        <s v="-0.95"/>
        <s v="-9.26"/>
        <s v="0.96"/>
        <s v="-2.06"/>
        <s v="-2.54"/>
        <s v="-3.03"/>
        <s v="-5.38"/>
        <s v="-11.97"/>
        <s v="-3.28"/>
        <s v="-2.33"/>
        <s v="-14.19"/>
        <s v="-5.85"/>
        <s v="7.18"/>
        <s v="3.64"/>
        <s v="-2.64"/>
        <s v="10.73"/>
        <s v="-13.32"/>
        <s v="0.48"/>
        <s v="42.49"/>
        <s v="2.68"/>
        <s v="16.28"/>
        <s v="-10.51"/>
        <s v="5.13"/>
        <s v="51.46"/>
        <s v="8.76"/>
        <s v="-0.5"/>
        <s v="3.01"/>
        <s v="1.57"/>
        <s v="4.53"/>
        <s v="-1.87"/>
        <s v="35.47"/>
        <s v="36.24"/>
        <s v="-3.06"/>
        <s v="-11.8"/>
        <s v="-12.61"/>
        <s v="-4.57"/>
        <s v="-38.78"/>
        <s v="-8.32"/>
        <s v="-6.72"/>
        <s v="-4.95"/>
        <s v="19.04"/>
        <s v="17.81"/>
        <s v="-13.6"/>
        <s v="-4.3"/>
        <s v="17.16"/>
        <s v="-0.06"/>
        <s v="-7.92"/>
        <s v="-12.48"/>
        <s v="1.13"/>
        <s v="2.77"/>
        <s v="-4.16"/>
        <s v="-5.47"/>
        <s v="-23.78"/>
        <s v="195.23"/>
        <s v="-1.04"/>
        <s v="-11.27"/>
        <s v="-4.23"/>
        <s v="5.74"/>
        <s v="5.94"/>
        <s v="-4.61"/>
        <s v="17.75"/>
        <s v="6.42"/>
        <s v="-2.49"/>
        <s v="4.75"/>
        <s v="0.03"/>
        <s v="-0.33"/>
        <s v="1.95"/>
        <s v="44.46"/>
        <s v="61.02"/>
        <s v="-9.05"/>
        <s v="-19.3"/>
        <s v="-4.94"/>
        <s v="-11.16"/>
        <s v="18.54"/>
        <s v="187.0"/>
        <s v="6.7"/>
        <s v="-11.6"/>
        <s v="15.59"/>
        <s v="1.49"/>
        <s v="31.31"/>
        <s v="2.04"/>
        <s v="-9.71"/>
        <s v="-6.87"/>
        <s v="-8.11"/>
        <s v="-4.49"/>
        <s v="-5.71"/>
        <s v="-38.61"/>
        <s v="19.84"/>
        <s v="-9.04"/>
        <s v="-18.51"/>
        <s v="-1.48"/>
        <s v="-26.41"/>
        <s v="0.56"/>
        <s v="-5.52"/>
        <s v="-9.1"/>
        <s v="-0.11"/>
        <s v="440.34"/>
        <s v="-7.7"/>
        <s v="20.67"/>
        <s v="9.78"/>
        <s v="0.3"/>
        <s v="4.55"/>
        <s v="-35.9"/>
        <s v="-0.16"/>
        <s v="-11.41"/>
        <s v="-22.55"/>
        <s v="7.31"/>
        <s v="43.43"/>
        <s v="17.4"/>
        <s v="3.7"/>
        <s v="-3.49"/>
        <s v="14.08"/>
        <s v="50.05"/>
        <s v="8.14"/>
        <s v="6.2"/>
        <s v="-2.94"/>
        <s v="-21.02"/>
        <s v="-4.43"/>
        <s v="54.98"/>
        <s v="-8.82"/>
        <s v="57.69"/>
        <s v="-2.65"/>
        <s v="17.42"/>
        <s v="-7.73"/>
        <s v="2.28"/>
        <s v="-2.32"/>
        <s v="-11.25"/>
        <s v="12.81"/>
        <s v="-0.43"/>
        <s v="-25.22"/>
        <s v="-32.14"/>
        <s v="-6.94"/>
        <s v="21.98"/>
        <s v="-3.91"/>
        <s v="28.18"/>
        <s v="19.8"/>
        <s v="-22.35"/>
        <s v="7.03"/>
        <s v="-43.99"/>
        <s v="11.31"/>
        <s v="-7.12"/>
        <s v="-0.67"/>
        <s v="77.15"/>
        <s v="15.44"/>
        <s v="74.19"/>
        <s v="12.9"/>
        <s v="-4.19"/>
        <s v="-35.51"/>
        <s v="-71.05"/>
        <s v="47.89"/>
        <s v="-18.46"/>
        <s v="-9.57"/>
        <s v="-9.56"/>
        <s v="-6.3"/>
        <s v="16.63"/>
        <s v="96.42"/>
        <s v="1.79"/>
        <s v="2.24"/>
        <s v="-18.47"/>
        <s v="9.85"/>
        <s v="-16.37"/>
        <s v="0.71"/>
        <s v="-53.32"/>
        <s v="10.39"/>
        <s v="-1.95"/>
        <s v="-7.66"/>
        <s v="-1.08"/>
        <s v="-0.07"/>
        <s v="-55.36"/>
        <s v="-30.58"/>
        <s v="3.12"/>
        <s v="-9.47"/>
        <s v="101.72"/>
        <s v="7.17"/>
        <s v="83.77"/>
        <s v="-49.53"/>
        <s v="-14.59"/>
        <s v="-0.69"/>
        <s v="28.22"/>
        <s v="3.21"/>
        <s v="-0.79"/>
        <s v="8.53"/>
        <s v="21.26"/>
        <s v="0.6"/>
        <s v="-5.33"/>
        <s v="5.97"/>
        <s v="199.22"/>
        <s v="-16.79"/>
        <s v="4.14"/>
        <s v="-15.78"/>
        <s v="-0.96"/>
        <s v="-21.21"/>
        <s v="-21.69"/>
        <s v="9.79"/>
        <s v="-4.24"/>
        <s v="4.11"/>
        <s v="43.53"/>
        <s v="-0.91"/>
        <s v="2.66"/>
        <s v="53.68"/>
        <s v="-30.78"/>
        <s v="3.72"/>
        <s v="-5.0"/>
        <s v="14.35"/>
        <s v="-2.89"/>
        <s v="19.78"/>
        <s v="4.07"/>
        <s v="-28.77"/>
        <s v="-9.88"/>
        <s v="-29.8"/>
        <s v="15.87"/>
        <s v="-16.89"/>
        <s v="-6.42"/>
        <s v="34.63"/>
        <s v="-15.2"/>
        <s v="-18.72"/>
        <s v="6.82"/>
        <s v="26.05"/>
        <s v="-2.43"/>
        <s v="25.04"/>
        <s v="25.73"/>
        <s v="-18.1"/>
        <s v="-2.14"/>
        <s v="-19.33"/>
        <s v="75.7"/>
        <s v="3.86"/>
        <s v="14.78"/>
        <s v="-16.67"/>
        <s v="12.86"/>
        <s v="-10.43"/>
        <s v="-2.2"/>
        <s v="-7.24"/>
        <s v="-7.5"/>
        <s v="-8.34"/>
        <s v="14.09"/>
        <s v="49.02"/>
        <s v="-31.96"/>
        <s v="17.03"/>
        <s v="-39.78"/>
        <s v="5.46"/>
        <s v="-39.16"/>
        <s v="4.16"/>
        <s v="3.05"/>
        <s v="-2.88"/>
        <s v="-2.78"/>
        <s v="11.07"/>
        <s v="18.51"/>
        <s v="-7.41"/>
        <s v="-28.64"/>
        <s v="13.9"/>
        <s v="40.94"/>
        <s v="11.72"/>
        <s v="12.24"/>
        <s v="10.01"/>
        <s v="-24.65"/>
        <s v="-70.51"/>
        <s v="17.37"/>
        <s v="0.79"/>
        <s v="0.94"/>
        <s v="11.38"/>
        <s v="-18.68"/>
        <s v="-4.84"/>
        <s v="-44.91"/>
        <s v="-12.54"/>
        <s v="42.29"/>
        <s v="-9.01"/>
        <s v="7.06"/>
        <s v="101.58"/>
        <s v="-9.3"/>
        <s v="10.32"/>
        <s v="39.58"/>
        <s v="12.23"/>
        <s v="40.55"/>
        <s v="56.35"/>
        <s v="59.08"/>
        <s v="-1.72"/>
        <s v="-6.36"/>
        <s v="-29.3"/>
        <s v="-11.26"/>
        <s v="-38.02"/>
        <s v="-16.31"/>
        <s v="-7.25"/>
        <s v="2.16"/>
        <s v="-14.61"/>
        <s v="-10.3"/>
        <s v="40.33"/>
        <s v="15.13"/>
        <s v="1.64"/>
        <s v="11.83"/>
        <s v="5.02"/>
        <s v="-6.58"/>
        <s v="-20.19"/>
        <s v="32.08"/>
        <s v="44.22"/>
        <s v="0.59"/>
        <s v="-58.63"/>
        <s v="1.16"/>
        <s v="39.32"/>
        <s v="-0.22"/>
        <s v="26.8"/>
        <s v="7.57"/>
        <s v="-22.29"/>
        <s v="7.76"/>
        <s v="-0.68"/>
        <s v="0.91"/>
        <s v="-2.04"/>
        <s v="0.5"/>
        <s v="15.88"/>
        <s v="5.1"/>
        <s v="4.78"/>
        <s v="-28.49"/>
        <s v="0.69"/>
        <s v="8.6"/>
        <s v="6.52"/>
        <s v="8.85"/>
        <s v="23.83"/>
        <s v="0.55"/>
        <s v="1.87"/>
        <s v="-7.93"/>
        <s v="-28.29"/>
        <s v="4.5"/>
        <s v="10.66"/>
        <s v="-38.48"/>
        <s v="-8.94"/>
        <s v="22.47"/>
        <s v="1.71"/>
        <s v="-9.63"/>
        <s v="8.92"/>
        <s v="52.88"/>
        <s v="77.82"/>
        <s v="0.17"/>
        <s v="5.78"/>
        <s v="44.29"/>
        <s v="-12.65"/>
        <s v="23.91"/>
        <s v="-15.63"/>
        <s v="-6.65"/>
        <s v="-11.04"/>
        <s v="-12.78"/>
        <s v="10.57"/>
        <s v="18.22"/>
        <s v="-8.84"/>
        <s v="9.97"/>
        <s v="-32.45"/>
        <s v="-36.46"/>
        <s v="-6.13"/>
        <s v="32.01"/>
        <s v="2.47"/>
        <s v="-73.63"/>
        <s v="1.01"/>
        <s v="-2.91"/>
        <s v="148.58"/>
        <s v="4.74"/>
        <s v="4.94"/>
        <s v="5.16"/>
        <s v="0.86"/>
        <s v="-4.18"/>
        <s v="1.75"/>
        <s v="91.59"/>
        <s v="-31.41"/>
        <s v="13.16"/>
        <s v="-6.89"/>
        <s v="-4.67"/>
        <s v="1.47"/>
        <s v="-24.15"/>
        <s v="-30.37"/>
        <s v="25.03"/>
        <s v="19.99"/>
        <s v="-16.64"/>
        <s v="-10.38"/>
        <s v="-10.62"/>
        <s v="0.35"/>
        <s v="36.14"/>
        <s v="41.95"/>
        <s v="-0.64"/>
        <s v="-3.71"/>
        <s v="6.09"/>
        <s v="7.78"/>
        <s v="-9.14"/>
        <s v="-38.5"/>
        <s v="-5.48"/>
        <s v="0.78"/>
        <s v="0.66"/>
        <s v="-7.07"/>
        <s v="34.21"/>
        <s v="-17.1"/>
        <s v="40.13"/>
        <s v="-6.03"/>
        <s v="-17.25"/>
        <s v="-20.9"/>
        <s v="-1.71"/>
        <s v="-0.28"/>
        <s v="25.82"/>
        <s v="-1.44"/>
        <s v="7.13"/>
        <s v="-1.33"/>
        <s v="-2.0"/>
        <s v="22.34"/>
        <s v="6.14"/>
        <s v="2.74"/>
        <s v="1.78"/>
        <s v="0.83"/>
        <s v="0.11"/>
        <s v="-20.12"/>
        <s v="-3.24"/>
        <s v="1.67"/>
        <s v="1.42"/>
        <s v="-13.91"/>
        <s v="74.93"/>
        <s v="-3.14"/>
        <s v="0.57"/>
        <s v="-5.04"/>
        <s v="9.2"/>
        <s v="-4.81"/>
        <s v="-19.34"/>
        <s v="0.14"/>
        <s v="-4.33"/>
        <s v="-3.72"/>
        <s v="-28.01"/>
        <s v="8.12"/>
        <s v="-20.78"/>
        <s v="8.39"/>
        <s v="-28.65"/>
        <s v="-10.08"/>
        <s v="14.04"/>
        <s v="-19.37"/>
        <s v="-16.29"/>
        <s v="-0.58"/>
        <s v="-20.98"/>
        <s v="2.34"/>
        <s v="-2.46"/>
        <s v="-7.42"/>
        <s v="-2.81"/>
        <s v="17.59"/>
        <s v="61.72"/>
        <s v="40.73"/>
        <s v="-7.31"/>
        <s v="-19.11"/>
        <s v="-38.23"/>
        <s v="-2.57"/>
        <s v="23.23"/>
        <s v="-20.47"/>
        <s v="43.99"/>
        <s v="0.99"/>
        <s v="1.2"/>
        <s v="-15.98"/>
        <s v="-34.56"/>
        <s v="-0.45"/>
        <s v="-2.01"/>
        <s v="-57.99"/>
        <s v="-24.38"/>
        <s v="1.58"/>
        <s v="12.58"/>
        <s v="-55.62"/>
        <s v="4.15"/>
        <s v="9.98"/>
        <s v="5.44"/>
        <s v="81.17"/>
        <s v="7.52"/>
        <s v="7.74"/>
        <s v="-12.62"/>
        <s v="0.24"/>
        <s v="26.03"/>
        <s v="32.9"/>
        <s v="-4.72"/>
        <s v="23.37"/>
        <s v="53.84"/>
        <s v="0.21"/>
        <s v="2.05"/>
        <s v="6.75"/>
        <s v="-17.47"/>
        <s v="0.72"/>
        <s v="0.46"/>
        <s v="34.19"/>
        <s v="35.89"/>
        <s v="-86.03"/>
        <s v="5.36"/>
        <s v="-0.0"/>
        <s v="4.59"/>
        <s v="5.11"/>
        <s v="-8.69"/>
        <s v="-7.4"/>
        <s v="0.33"/>
        <s v="-56.3"/>
        <s v="2.17"/>
        <s v="-28.11"/>
        <s v="4.24"/>
        <s v="13.55"/>
        <s v="50.82"/>
        <s v="92.25"/>
        <s v="-2.96"/>
        <s v="15.17"/>
        <s v="-13.95"/>
        <s v="-9.33"/>
        <s v="-2.76"/>
        <s v="24.88"/>
        <s v="8.63"/>
        <s v="-30.66"/>
        <s v="-5.7"/>
        <s v="92.3"/>
        <s v="-12.9"/>
        <s v="-1.91"/>
        <s v="-2.69"/>
        <s v="-2.3"/>
        <s v="20.64"/>
        <s v="-1.53"/>
        <s v="-2.31"/>
        <s v="125.49"/>
        <s v="-24.6"/>
        <s v="4.08"/>
        <s v="38.01"/>
        <s v="31.15"/>
        <s v="-36.76"/>
        <s v="-16.39"/>
        <s v="-10.73"/>
        <s v="0.81"/>
        <s v="6.71"/>
        <s v="23.18"/>
        <s v="26.56"/>
        <s v="-4.63"/>
        <s v="1.22"/>
        <s v="17.89"/>
        <s v="-18.41"/>
        <s v="-44.28"/>
        <s v="19.09"/>
        <s v="-11.15"/>
        <s v="27.59"/>
        <s v="30.08"/>
        <s v="3.14"/>
        <s v="12.36"/>
        <s v="-13.13"/>
        <s v="-23.66"/>
        <s v="-3.45"/>
        <s v="44.41"/>
        <s v="-22.77"/>
        <s v="4.69"/>
        <s v="-17.94"/>
        <s v="-4.0"/>
        <s v="-49.59"/>
        <s v="-32.7"/>
        <s v="-18.8"/>
        <s v="8.49"/>
        <s v="9.37"/>
        <s v="-17.49"/>
        <s v="-0.47"/>
        <s v="3.16"/>
        <s v="-33.37"/>
        <s v="-9.08"/>
        <s v="-24.03"/>
        <s v="51.19"/>
        <s v="-20.68"/>
        <s v="-3.38"/>
        <s v="-3.82"/>
        <s v="4.29"/>
        <s v="40.95"/>
        <s v="15.55"/>
        <s v="-12.39"/>
        <s v="-8.3"/>
        <s v="-6.45"/>
        <s v="-6.93"/>
        <s v="-34.22"/>
        <s v="5.64"/>
        <s v="8.7"/>
        <s v="-31.04"/>
        <s v="27.02"/>
        <s v="35.83"/>
        <s v="-6.56"/>
        <s v="-15.71"/>
        <s v="5.01"/>
        <s v="-7.95"/>
        <s v="-6.85"/>
        <s v="-13.16"/>
        <s v="38.33"/>
        <s v="-15.55"/>
        <s v="1.05"/>
        <s v="5.15"/>
        <s v="-45.95"/>
        <s v="-80.3"/>
        <s v="-95.71"/>
        <s v="-29.18"/>
        <s v="-62.35"/>
        <s v="0.04"/>
        <s v="-5.69"/>
        <s v="54.17"/>
        <s v="-10.19"/>
        <s v="-9.93"/>
        <s v="59.69"/>
        <s v="-61.89"/>
        <s v="5.95"/>
        <s v="-4.22"/>
        <s v="43.88"/>
        <s v="-22.72"/>
        <s v="-4.48"/>
        <s v="-49.6"/>
        <s v="0.85"/>
        <s v="-15.38"/>
        <s v="-9.95"/>
        <s v="46.26"/>
        <s v="-24.84"/>
        <s v="3.96"/>
        <s v="-4.74"/>
        <s v="-11.44"/>
        <s v="4.49"/>
        <s v="134.87"/>
        <s v="20.43"/>
        <s v="-41.11"/>
        <s v="1.6"/>
        <s v="-40.54"/>
        <s v="64.1"/>
        <s v="-21.42"/>
        <s v="19.73"/>
        <s v="-0.92"/>
        <s v="-0.97"/>
        <s v="-13.61"/>
        <s v="-20.04"/>
        <s v="8.78"/>
        <s v="16.37"/>
        <s v="-14.55"/>
        <s v="0.73"/>
        <s v="36.11"/>
        <s v="1.06"/>
        <s v="1.34"/>
        <s v="1.7"/>
        <s v="-3.65"/>
        <s v="-22.0"/>
        <s v="1.54"/>
        <s v="0.32"/>
        <s v="0.13"/>
        <s v="0.28"/>
        <s v="1.17"/>
      </sharedItems>
    </cacheField>
    <cacheField name="Coin.percent_change_7d" numFmtId="0">
      <sharedItems containsBlank="1" count="1002">
        <s v="3.55"/>
        <s v="4.06"/>
        <s v="20.07"/>
        <s v="-17.54"/>
        <s v="-3.4"/>
        <s v="-4.63"/>
        <s v="-10.7"/>
        <s v="13.75"/>
        <s v="-14.29"/>
        <s v="-4.54"/>
        <s v="-4.97"/>
        <s v="7.39"/>
        <s v="-14.19"/>
        <s v="17.18"/>
        <s v="-8.99"/>
        <s v="-11.68"/>
        <s v="-1.15"/>
        <m/>
        <s v="0.23"/>
        <s v="-18.92"/>
        <s v="48.67"/>
        <s v="-22.53"/>
        <s v="-9.11"/>
        <s v="2.03"/>
        <s v="7.41"/>
        <s v="-7.09"/>
        <s v="17.08"/>
        <s v="-19.27"/>
        <s v="-1.09"/>
        <s v="-7.53"/>
        <s v="-18.95"/>
        <s v="-5.5"/>
        <s v="17.93"/>
        <s v="-23.11"/>
        <s v="47.99"/>
        <s v="7.95"/>
        <s v="-11.24"/>
        <s v="-14.94"/>
        <s v="26.18"/>
        <s v="32.25"/>
        <s v="-11.02"/>
        <s v="25.94"/>
        <s v="-4.73"/>
        <s v="1.54"/>
        <s v="-28.71"/>
        <s v="20.05"/>
        <s v="-9.03"/>
        <s v="-15.63"/>
        <s v="-7.85"/>
        <s v="-7.75"/>
        <s v="-16.27"/>
        <s v="-11.12"/>
        <s v="17.0"/>
        <s v="4.19"/>
        <s v="-4.36"/>
        <s v="-14.96"/>
        <s v="-7.57"/>
        <s v="13.77"/>
        <s v="-20.45"/>
        <s v="-21.05"/>
        <s v="6.7"/>
        <s v="4.32"/>
        <s v="0.57"/>
        <s v="-7.01"/>
        <s v="11.39"/>
        <s v="-2.29"/>
        <s v="1.88"/>
        <s v="-0.3"/>
        <s v="2.14"/>
        <s v="-20.44"/>
        <s v="-17.13"/>
        <s v="86.5"/>
        <s v="-7.79"/>
        <s v="-16.23"/>
        <s v="4.24"/>
        <s v="-22.99"/>
        <s v="-6.81"/>
        <s v="5.94"/>
        <s v="59.41"/>
        <s v="-7.26"/>
        <s v="133.28"/>
        <s v="-13.12"/>
        <s v="-20.99"/>
        <s v="-6.79"/>
        <s v="68.88"/>
        <s v="-5.89"/>
        <s v="27.38"/>
        <s v="-23.7"/>
        <s v="-6.55"/>
        <s v="8.13"/>
        <s v="-7.35"/>
        <s v="-20.67"/>
        <s v="-5.98"/>
        <s v="-22.49"/>
        <s v="5.62"/>
        <s v="4.23"/>
        <s v="-11.43"/>
        <s v="-5.55"/>
        <s v="-19.52"/>
        <s v="-39.83"/>
        <s v="-20.95"/>
        <s v="-12.28"/>
        <s v="19.88"/>
        <s v="-6.95"/>
        <s v="-16.26"/>
        <s v="-18.67"/>
        <s v="14.62"/>
        <s v="-10.27"/>
        <s v="153.33"/>
        <s v="-15.18"/>
        <s v="-13.66"/>
        <s v="-3.17"/>
        <s v="-10.67"/>
        <s v="20.16"/>
        <s v="-7.25"/>
        <s v="-2.56"/>
        <s v="6.62"/>
        <s v="-16.44"/>
        <s v="-3.77"/>
        <s v="-20.91"/>
        <s v="54.55"/>
        <s v="127.47"/>
        <s v="10.39"/>
        <s v="-21.75"/>
        <s v="9.18"/>
        <s v="-21.17"/>
        <s v="5.18"/>
        <s v="-19.2"/>
        <s v="-7.34"/>
        <s v="13.86"/>
        <s v="8.29"/>
        <s v="89.51"/>
        <s v="-6.26"/>
        <s v="56.13"/>
        <s v="-9.96"/>
        <s v="2.26"/>
        <s v="36.1"/>
        <s v="9.59"/>
        <s v="-25.83"/>
        <s v="-19.7"/>
        <s v="6.67"/>
        <s v="-9.63"/>
        <s v="-29.54"/>
        <s v="-3.09"/>
        <s v="-10.69"/>
        <s v="-12.25"/>
        <s v="15.81"/>
        <s v="-4.33"/>
        <s v="-14.73"/>
        <s v="35.96"/>
        <s v="-23.31"/>
        <s v="4.74"/>
        <s v="-16.56"/>
        <s v="-31.79"/>
        <s v="-7.1"/>
        <s v="11.46"/>
        <s v="-35.64"/>
        <s v="-21.36"/>
        <s v="-9.55"/>
        <s v="-3.65"/>
        <s v="-14.27"/>
        <s v="14.52"/>
        <s v="-13.11"/>
        <s v="10.1"/>
        <s v="-2.2"/>
        <s v="-23.36"/>
        <s v="-7.55"/>
        <s v="-10.36"/>
        <s v="2.94"/>
        <s v="-24.92"/>
        <s v="9.62"/>
        <s v="-32.24"/>
        <s v="-17.04"/>
        <s v="35.48"/>
        <s v="-4.34"/>
        <s v="-21.34"/>
        <s v="-12.8"/>
        <s v="-12.75"/>
        <s v="-1.63"/>
        <s v="-7.08"/>
        <s v="-12.18"/>
        <s v="-9.0"/>
        <s v="18.57"/>
        <s v="-19.92"/>
        <s v="-5.57"/>
        <s v="13.38"/>
        <s v="-22.84"/>
        <s v="-5.81"/>
        <s v="-11.0"/>
        <s v="-20.18"/>
        <s v="-9.25"/>
        <s v="85.17"/>
        <s v="-14.8"/>
        <s v="-5.78"/>
        <s v="103.22"/>
        <s v="0.2"/>
        <s v="-9.58"/>
        <s v="-16.88"/>
        <s v="1.1"/>
        <s v="-16.0"/>
        <s v="4.02"/>
        <s v="6.2"/>
        <s v="-32.19"/>
        <s v="-5.31"/>
        <s v="-6.41"/>
        <s v="-14.84"/>
        <s v="-15.57"/>
        <s v="-22.86"/>
        <s v="-15.62"/>
        <s v="-4.21"/>
        <s v="-24.86"/>
        <s v="-6.09"/>
        <s v="0.15"/>
        <s v="-18.34"/>
        <s v="-24.46"/>
        <s v="7.69"/>
        <s v="-17.48"/>
        <s v="-14.28"/>
        <s v="-4.05"/>
        <s v="-29.03"/>
        <s v="-18.24"/>
        <s v="-20.66"/>
        <s v="-28.38"/>
        <s v="-10.04"/>
        <s v="-18.68"/>
        <s v="-10.77"/>
        <s v="-13.73"/>
        <s v="-15.42"/>
        <s v="-11.72"/>
        <s v="14.06"/>
        <s v="43.29"/>
        <s v="-6.51"/>
        <s v="-20.55"/>
        <s v="-18.82"/>
        <s v="-12.81"/>
        <s v="-13.95"/>
        <s v="-22.76"/>
        <s v="0.56"/>
        <s v="1.62"/>
        <s v="0.55"/>
        <s v="-46.62"/>
        <s v="-7.77"/>
        <s v="-16.76"/>
        <s v="-17.39"/>
        <s v="-5.99"/>
        <s v="558.16"/>
        <s v="-30.37"/>
        <s v="6.37"/>
        <s v="26.66"/>
        <s v="-14.99"/>
        <s v="51.71"/>
        <s v="-7.71"/>
        <s v="3.51"/>
        <s v="3.17"/>
        <s v="16.59"/>
        <s v="-10.58"/>
        <s v="-20.41"/>
        <s v="-23.85"/>
        <s v="-33.88"/>
        <s v="-19.18"/>
        <s v="-9.33"/>
        <s v="2.15"/>
        <s v="-8.43"/>
        <s v="113.27"/>
        <s v="-15.2"/>
        <s v="-10.19"/>
        <s v="-13.26"/>
        <s v="-29.52"/>
        <s v="1.41"/>
        <s v="10.22"/>
        <s v="259.46"/>
        <s v="-5.88"/>
        <s v="-23.95"/>
        <s v="-19.35"/>
        <s v="32.99"/>
        <s v="-11.23"/>
        <s v="-11.17"/>
        <s v="-7.99"/>
        <s v="2.78"/>
        <s v="-7.0"/>
        <s v="-3.86"/>
        <s v="-3.55"/>
        <s v="-21.06"/>
        <s v="-24.48"/>
        <s v="-5.14"/>
        <s v="-33.58"/>
        <s v="46.29"/>
        <s v="-19.53"/>
        <s v="-24.16"/>
        <s v="9.29"/>
        <s v="-15.21"/>
        <s v="-15.01"/>
        <s v="6.05"/>
        <s v="53.35"/>
        <s v="23.43"/>
        <s v="-16.13"/>
        <s v="12.39"/>
        <s v="6.76"/>
        <s v="-11.2"/>
        <s v="0.59"/>
        <s v="-17.87"/>
        <s v="-2.23"/>
        <s v="-4.74"/>
        <s v="-36.11"/>
        <s v="-3.73"/>
        <s v="-7.88"/>
        <s v="-15.26"/>
        <s v="-13.96"/>
        <s v="-12.11"/>
        <s v="31.49"/>
        <s v="-7.32"/>
        <s v="-4.09"/>
        <s v="-68.48"/>
        <s v="-30.82"/>
        <s v="-1.88"/>
        <s v="-2.51"/>
        <s v="-15.35"/>
        <s v="-11.35"/>
        <s v="-29.01"/>
        <s v="-14.87"/>
        <s v="39.38"/>
        <s v="-17.05"/>
        <s v="-15.32"/>
        <s v="55.81"/>
        <s v="0.75"/>
        <s v="4.66"/>
        <s v="-21.69"/>
        <s v="30.14"/>
        <s v="-11.84"/>
        <s v="-13.16"/>
        <s v="-8.69"/>
        <s v="-9.32"/>
        <s v="-87.36"/>
        <s v="-29.77"/>
        <s v="-22.48"/>
        <s v="-1.41"/>
        <s v="39.85"/>
        <s v="-28.2"/>
        <s v="-31.59"/>
        <s v="-12.26"/>
        <s v="2.45"/>
        <s v="-19.48"/>
        <s v="-23.88"/>
        <s v="-23.73"/>
        <s v="-39.52"/>
        <s v="-2.71"/>
        <s v="-28.13"/>
        <s v="-15.03"/>
        <s v="-32.39"/>
        <s v="131.45"/>
        <s v="-58.81"/>
        <s v="-3.71"/>
        <s v="46.31"/>
        <s v="-8.55"/>
        <s v="-19.34"/>
        <s v="-1.69"/>
        <s v="-11.22"/>
        <s v="-32.65"/>
        <s v="3.11"/>
        <s v="-27.48"/>
        <s v="-2.46"/>
        <s v="-15.94"/>
        <s v="-16.92"/>
        <s v="-12.62"/>
        <s v="-24.08"/>
        <s v="11.44"/>
        <s v="-38.81"/>
        <s v="-12.05"/>
        <s v="-56.15"/>
        <s v="-11.32"/>
        <s v="62.0"/>
        <s v="751.49"/>
        <s v="33.52"/>
        <s v="-27.18"/>
        <s v="17.61"/>
        <s v="2.74"/>
        <s v="78.28"/>
        <s v="0.06"/>
        <s v="5.02"/>
        <s v="-68.59"/>
        <s v="3.98"/>
        <s v="4.85"/>
        <s v="-42.62"/>
        <s v="-36.86"/>
        <s v="-21.08"/>
        <s v="-17.25"/>
        <s v="143.39"/>
        <s v="-16.06"/>
        <s v="-37.24"/>
        <s v="8.98"/>
        <s v="37.37"/>
        <s v="-11.6"/>
        <s v="-16.01"/>
        <s v="270.79"/>
        <s v="-5.56"/>
        <s v="89.48"/>
        <s v="16.42"/>
        <s v="-11.5"/>
        <s v="-71.37"/>
        <s v="-0.15"/>
        <s v="8.75"/>
        <s v="-23.9"/>
        <s v="-38.1"/>
        <s v="-3.47"/>
        <s v="-2.33"/>
        <s v="228.9"/>
        <s v="-23.07"/>
        <s v="28.63"/>
        <s v="-17.75"/>
        <s v="-30.12"/>
        <s v="38.21"/>
        <s v="45.63"/>
        <s v="-5.21"/>
        <s v="10.81"/>
        <s v="-5.86"/>
        <s v="-13.93"/>
        <s v="99.73"/>
        <s v="-0.94"/>
        <s v="0.8"/>
        <s v="-19.31"/>
        <s v="-19.36"/>
        <s v="-29.29"/>
        <s v="4.77"/>
        <s v="-16.91"/>
        <s v="-18.08"/>
        <s v="-6.7"/>
        <s v="-8.83"/>
        <s v="-13.92"/>
        <s v="47.32"/>
        <s v="-6.08"/>
        <s v="-20.09"/>
        <s v="10.18"/>
        <s v="100.93"/>
        <s v="28.05"/>
        <s v="3.94"/>
        <s v="-58.86"/>
        <s v="24.93"/>
        <s v="-22.36"/>
        <s v="-52.21"/>
        <s v="12.89"/>
        <s v="10.5"/>
        <s v="340.53"/>
        <s v="13.09"/>
        <s v="12.64"/>
        <s v="-26.75"/>
        <s v="-76.88"/>
        <s v="101.43"/>
        <s v="12.81"/>
        <s v="-0.61"/>
        <s v="-31.53"/>
        <s v="-1.17"/>
        <s v="38.14"/>
        <s v="-26.18"/>
        <s v="13.93"/>
        <s v="10.79"/>
        <s v="-18.4"/>
        <s v="-8.04"/>
        <s v="-69.02"/>
        <s v="13.92"/>
        <s v="45.99"/>
        <s v="-23.35"/>
        <s v="2.76"/>
        <s v="-57.89"/>
        <s v="3.74"/>
        <s v="3.13"/>
        <s v="12.59"/>
        <s v="5.83"/>
        <s v="-13.06"/>
        <s v="152.76"/>
        <s v="3.48"/>
        <s v="-38.94"/>
        <s v="2.28"/>
        <s v="-11.3"/>
        <s v="269.25"/>
        <s v="-6.97"/>
        <s v="99.48"/>
        <s v="169.31"/>
        <s v="-12.12"/>
        <s v="2.85"/>
        <s v="60.23"/>
        <s v="13.56"/>
        <s v="-51.42"/>
        <s v="117.54"/>
        <s v="-2.55"/>
        <s v="12.73"/>
        <s v="15.01"/>
        <s v="-22.54"/>
        <s v="184.43"/>
        <s v="0.29"/>
        <s v="-49.43"/>
        <s v="-24.49"/>
        <s v="0.7"/>
        <s v="-33.82"/>
        <s v="-19.97"/>
        <s v="-30.97"/>
        <s v="-14.93"/>
        <s v="116.32"/>
        <s v="25.13"/>
        <s v="-34.26"/>
        <s v="-9.65"/>
        <s v="88.05"/>
        <s v="468.56"/>
        <s v="-15.31"/>
        <s v="61.21"/>
        <s v="6.01"/>
        <s v="-5.26"/>
        <s v="-12.45"/>
        <s v="15.52"/>
        <s v="61.65"/>
        <s v="1.71"/>
        <s v="158.57"/>
        <s v="29.88"/>
        <s v="-4.16"/>
        <s v="-16.96"/>
        <s v="21.7"/>
        <s v="-39.45"/>
        <s v="7.24"/>
        <s v="-43.48"/>
        <s v="-28.41"/>
        <s v="-27.92"/>
        <s v="-15.05"/>
        <s v="-28.74"/>
        <s v="-2.21"/>
        <s v="10.63"/>
        <s v="433.48"/>
        <s v="47.14"/>
        <s v="-21.95"/>
        <s v="6.91"/>
        <s v="0.89"/>
        <s v="-10.41"/>
        <s v="47.34"/>
        <s v="-51.27"/>
        <s v="61.85"/>
        <s v="-27.34"/>
        <s v="32.42"/>
        <s v="-34.51"/>
        <s v="89.73"/>
        <s v="9.73"/>
        <s v="14.02"/>
        <s v="51.87"/>
        <s v="-43.79"/>
        <s v="-8.48"/>
        <s v="-0.79"/>
        <s v="-25.45"/>
        <s v="11.7"/>
        <s v="-95.14"/>
        <s v="36.18"/>
        <s v="17.47"/>
        <s v="-62.96"/>
        <s v="-46.96"/>
        <s v="33.02"/>
        <s v="-29.76"/>
        <s v="7.14"/>
        <s v="25.67"/>
        <s v="-42.07"/>
        <s v="-32.49"/>
        <s v="-3.48"/>
        <s v="-14.07"/>
        <s v="-21.23"/>
        <s v="20.83"/>
        <s v="-30.58"/>
        <s v="-67.32"/>
        <s v="-12.39"/>
        <s v="1.74"/>
        <s v="11.0"/>
        <s v="0.12"/>
        <s v="-17.77"/>
        <s v="31.37"/>
        <s v="-15.53"/>
        <s v="-6.69"/>
        <s v="-53.91"/>
        <s v="-13.02"/>
        <s v="0.34"/>
        <s v="-1.39"/>
        <s v="3.4"/>
        <s v="58.2"/>
        <s v="-4.51"/>
        <s v="45.69"/>
        <s v="-19.45"/>
        <s v="3.81"/>
        <s v="45.78"/>
        <s v="0.25"/>
        <s v="16.43"/>
        <s v="41.14"/>
        <s v="-35.71"/>
        <s v="19.78"/>
        <s v="21.34"/>
        <s v="1.56"/>
        <s v="-2.41"/>
        <s v="10.49"/>
        <s v="-30.28"/>
        <s v="-3.54"/>
        <s v="-4.03"/>
        <s v="28.08"/>
        <s v="7.67"/>
        <s v="-30.03"/>
        <s v="-31.56"/>
        <s v="86.43"/>
        <s v="15.17"/>
        <s v="-0.1"/>
        <s v="-29.0"/>
        <s v="28.31"/>
        <s v="-10.0"/>
        <s v="20.5"/>
        <s v="-23.03"/>
        <s v="-14.72"/>
        <s v="-18.6"/>
        <s v="24.76"/>
        <s v="-65.98"/>
        <s v="-23.44"/>
        <s v="-0.48"/>
        <s v="-0.02"/>
        <s v="-22.02"/>
        <s v="-21.89"/>
        <s v="-11.1"/>
        <s v="10.9"/>
        <s v="24.62"/>
        <s v="-92.0"/>
        <s v="86.13"/>
        <s v="-8.61"/>
        <s v="-10.84"/>
        <s v="15.69"/>
        <s v="16.81"/>
        <s v="-0.38"/>
        <s v="2.32"/>
        <s v="-19.57"/>
        <s v="-6.37"/>
        <s v="-1.23"/>
        <s v="-11.57"/>
        <s v="12.11"/>
        <s v="-3.21"/>
        <s v="-13.89"/>
        <s v="-11.41"/>
        <s v="43.27"/>
        <s v="64.69"/>
        <s v="-18.55"/>
        <s v="-21.41"/>
        <s v="41.88"/>
        <s v="25.2"/>
        <s v="-14.13"/>
        <s v="63.32"/>
        <s v="-5.51"/>
        <s v="-8.18"/>
        <s v="-9.29"/>
        <s v="65.19"/>
        <s v="3.24"/>
        <s v="0.77"/>
        <s v="61.91"/>
        <s v="76.41"/>
        <s v="-53.09"/>
        <s v="12.03"/>
        <s v="21.36"/>
        <s v="3.43"/>
        <s v="-27.74"/>
        <s v="33.68"/>
        <s v="4.44"/>
        <s v="13.98"/>
        <s v="-2.18"/>
        <s v="-20.28"/>
        <s v="-1.05"/>
        <s v="-14.59"/>
        <s v="15.05"/>
        <s v="-46.27"/>
        <s v="10.95"/>
        <s v="41.31"/>
        <s v="-9.88"/>
        <s v="40.78"/>
        <s v="-13.58"/>
        <s v="-12.83"/>
        <s v="-3.28"/>
        <s v="3.41"/>
        <s v="-1.57"/>
        <s v="-29.14"/>
        <s v="9.42"/>
        <s v="-0.23"/>
        <s v="-15.23"/>
        <s v="-2.26"/>
        <s v="5.77"/>
        <s v="19.31"/>
        <s v="105.0"/>
        <s v="-23.66"/>
        <s v="-40.58"/>
        <s v="-8.45"/>
        <s v="11.03"/>
        <s v="3.45"/>
        <s v="-8.91"/>
        <s v="-13.6"/>
        <s v="5026.36"/>
        <s v="-3.56"/>
        <s v="-20.26"/>
        <s v="-0.4"/>
        <s v="-22.21"/>
        <s v="21.53"/>
        <s v="-1.87"/>
        <s v="-0.68"/>
        <s v="-3.97"/>
        <s v="5.47"/>
        <s v="-11.61"/>
        <s v="-43.58"/>
        <s v="20.06"/>
        <s v="-10.51"/>
        <s v="65.85"/>
        <s v="46.04"/>
        <s v="-4.95"/>
        <s v="37.71"/>
        <s v="11.84"/>
        <s v="-32.64"/>
        <s v="-20.25"/>
        <s v="-44.06"/>
        <s v="14.34"/>
        <s v="-3.39"/>
        <s v="-0.06"/>
        <s v="-17.72"/>
        <s v="-50.31"/>
        <s v="-9.67"/>
        <s v="-37.44"/>
        <s v="12.74"/>
        <s v="-52.22"/>
        <s v="-24.4"/>
        <s v="-3.19"/>
        <s v="-22.85"/>
        <s v="-0.52"/>
        <s v="-4.19"/>
        <s v="1.27"/>
        <s v="-46.54"/>
        <s v="-21.39"/>
        <s v="-2.61"/>
        <s v="-23.38"/>
        <s v="8.33"/>
        <s v="2.31"/>
        <s v="30.42"/>
        <s v="17.52"/>
        <s v="5.09"/>
        <s v="20.39"/>
        <s v="28.01"/>
        <s v="33.17"/>
        <s v="32.93"/>
        <s v="1.68"/>
        <s v="18.39"/>
        <s v="2.72"/>
        <s v="-24.8"/>
        <s v="-24.07"/>
        <s v="-13.31"/>
        <s v="5.03"/>
        <s v="-30.64"/>
        <s v="22.97"/>
        <s v="-17.84"/>
        <s v="-5.9"/>
        <s v="-3.24"/>
        <s v="14.81"/>
        <s v="5.33"/>
        <s v="-14.25"/>
        <s v="63.68"/>
        <s v="-11.96"/>
        <s v="72.77"/>
        <s v="-18.58"/>
        <s v="3.06"/>
        <s v="-45.49"/>
        <s v="-6.17"/>
        <s v="-12.33"/>
        <s v="-2.01"/>
        <s v="-55.86"/>
        <s v="-15.8"/>
        <s v="-39.29"/>
        <s v="-36.53"/>
        <s v="-8.17"/>
        <s v="1.84"/>
        <s v="-24.15"/>
        <s v="-25.32"/>
        <s v="-16.9"/>
        <s v="-1.5"/>
        <s v="-14.45"/>
        <s v="-16.16"/>
        <s v="2.82"/>
        <s v="36.61"/>
        <s v="4.14"/>
        <s v="3.49"/>
        <s v="-26.25"/>
        <s v="-4.01"/>
        <s v="23.61"/>
        <s v="-11.52"/>
        <s v="14.31"/>
        <s v="-14.81"/>
        <s v="-0.42"/>
        <s v="3.57"/>
        <s v="-14.65"/>
        <s v="-50.87"/>
        <s v="12.47"/>
        <s v="-1.31"/>
        <s v="-15.45"/>
        <s v="-38.57"/>
        <s v="171.17"/>
        <s v="28.53"/>
        <s v="-8.12"/>
        <s v="345.9"/>
        <s v="-2.72"/>
        <s v="-51.63"/>
        <s v="0.11"/>
        <s v="0.58"/>
        <s v="-13.51"/>
        <s v="22.11"/>
        <s v="-4.26"/>
        <s v="-12.79"/>
        <s v="-54.34"/>
        <s v="-25.01"/>
        <s v="-44.81"/>
        <s v="-22.2"/>
        <s v="-14.48"/>
        <s v="-31.36"/>
        <s v="-20.15"/>
        <s v="73.05"/>
        <s v="-21.63"/>
        <s v="7.83"/>
        <s v="22.62"/>
        <s v="-34.19"/>
        <s v="74.03"/>
        <s v="0.39"/>
        <s v="57.84"/>
        <s v="-4.75"/>
        <s v="3.53"/>
        <s v="27.93"/>
        <s v="57.83"/>
        <s v="2.8"/>
        <s v="14.88"/>
        <s v="16.34"/>
        <s v="-15.06"/>
        <s v="-52.77"/>
        <s v="17.88"/>
        <s v="1.18"/>
        <s v="5.86"/>
        <s v="-24.41"/>
        <s v="-72.51"/>
        <s v="-88.31"/>
        <s v="-2.47"/>
        <s v="-21.7"/>
        <s v="-0.0"/>
        <s v="12.49"/>
        <s v="1.47"/>
        <s v="-13.55"/>
        <s v="62.86"/>
        <s v="19.01"/>
        <s v="3501.51"/>
        <s v="31.7"/>
        <s v="-22.22"/>
        <s v="-2.13"/>
        <s v="22.76"/>
        <s v="170.0"/>
        <s v="-22.06"/>
        <s v="-6.58"/>
        <s v="-34.7"/>
        <s v="52.9"/>
        <s v="-7.51"/>
        <s v="-36.7"/>
        <s v="-1.3"/>
        <s v="-42.12"/>
        <s v="-20.04"/>
        <s v="112.21"/>
        <s v="-54.36"/>
        <s v="-19.28"/>
        <s v="-6.13"/>
        <s v="-23.37"/>
        <s v="4.94"/>
        <s v="4.76"/>
        <s v="3.26"/>
        <s v="-6.11"/>
        <s v="110.08"/>
        <s v="41.38"/>
        <s v="180.65"/>
        <s v="-28.48"/>
        <s v="-0.11"/>
        <s v="-47.5"/>
        <s v="11.83"/>
        <s v="3.05"/>
        <s v="5.7"/>
        <s v="-5.82"/>
        <s v="73.17"/>
        <s v="17.7"/>
        <s v="-65.01"/>
        <s v="86.39"/>
        <s v="-48.37"/>
        <s v="-48.3"/>
        <s v="-35.69"/>
        <s v="-33.93"/>
        <s v="27.59"/>
        <s v="-53.52"/>
        <s v="-6.93"/>
        <s v="-48.29"/>
        <s v="34.34"/>
        <s v="42.72"/>
        <s v="33.07"/>
        <s v="1.45"/>
        <s v="0.6"/>
        <s v="-55.69"/>
        <s v="-5.35"/>
        <s v="-2.43"/>
        <s v="86.47"/>
        <s v="-27.94"/>
        <s v="-49.75"/>
        <s v="16.53"/>
        <s v="33.65"/>
        <s v="-23.93"/>
        <s v="27.14"/>
        <s v="81.87"/>
        <s v="15.59"/>
        <s v="-7.72"/>
        <s v="-19.44"/>
        <s v="30.47"/>
        <s v="3.42"/>
        <s v="18.77"/>
        <s v="-38.06"/>
        <s v="-45.66"/>
        <s v="-41.3"/>
        <s v="-4.18"/>
        <s v="43.21"/>
        <s v="-42.02"/>
        <s v="14.16"/>
        <s v="-1.1"/>
        <s v="-2.73"/>
        <s v="3.66"/>
        <s v="28.94"/>
        <s v="12.71"/>
        <s v="14.18"/>
        <s v="-11.42"/>
        <s v="-8.01"/>
        <s v="-5.63"/>
        <s v="221.35"/>
        <s v="54.28"/>
        <s v="-19.8"/>
        <s v="-16.97"/>
        <s v="-59.01"/>
        <s v="-35.18"/>
        <s v="-56.17"/>
        <s v="-98.39"/>
        <s v="-18.53"/>
        <s v="-57.39"/>
        <s v="6.0"/>
        <s v="-19.14"/>
        <s v="-17.67"/>
        <s v="55.77"/>
        <s v="-17.15"/>
        <s v="-32.71"/>
        <s v="4.62"/>
        <s v="-19.19"/>
        <s v="-70.47"/>
        <s v="-30.54"/>
        <s v="-15.47"/>
        <s v="41.0"/>
        <s v="-71.8"/>
        <s v="-15.75"/>
        <s v="-21.46"/>
        <s v="3.37"/>
        <s v="-16.73"/>
        <s v="-20.34"/>
        <s v="-10.12"/>
        <s v="312.13"/>
        <s v="-4.27"/>
        <s v="75.08"/>
        <s v="-3.04"/>
        <s v="-26.49"/>
        <s v="84.87"/>
        <s v="43.56"/>
        <s v="-30.16"/>
        <s v="-18.57"/>
        <s v="-75.88"/>
        <s v="-12.04"/>
        <s v="-8.84"/>
        <s v="22.2"/>
        <s v="-0.36"/>
        <s v="-1.76"/>
        <s v="8.39"/>
        <s v="52.02"/>
        <s v="17.3"/>
        <s v="-31.06"/>
        <s v="2.2"/>
        <s v="1.52"/>
        <s v="17.84"/>
        <s v="6.82"/>
        <s v="-2.64"/>
        <s v="13.94"/>
        <s v="9.44"/>
        <s v="6.97"/>
        <s v="22.12"/>
        <s v="-50.43"/>
        <s v="13.23"/>
        <s v="-8.08"/>
        <s v="-55.35"/>
        <s v="2.22"/>
        <s v="3.97"/>
        <s v="-47.83"/>
        <s v="16.6"/>
        <s v="-7.59"/>
        <s v="34.59"/>
        <s v="1.66"/>
        <s v="-48.81"/>
        <s v="10.11"/>
        <s v="-30.79"/>
        <s v="215.84"/>
        <s v="1.95"/>
        <s v="22.39"/>
        <s v="-1.14"/>
        <s v="151.72"/>
        <s v="0.26"/>
      </sharedItems>
    </cacheField>
    <cacheField name="Coin.last_updated" numFmtId="0">
      <sharedItems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6">
  <r>
    <x v="0"/>
    <x v="0"/>
    <s v="BTC"/>
    <s v="1"/>
    <s v="4375.22"/>
    <s v="1.0"/>
    <x v="0"/>
    <x v="0"/>
    <x v="0"/>
    <x v="0"/>
    <x v="0"/>
    <x v="0"/>
    <x v="0"/>
    <s v="1507352354"/>
  </r>
  <r>
    <x v="1"/>
    <x v="1"/>
    <s v="ETH"/>
    <s v="2"/>
    <s v="308.232"/>
    <s v="0.0704201"/>
    <x v="1"/>
    <x v="1"/>
    <x v="1"/>
    <x v="1"/>
    <x v="1"/>
    <x v="1"/>
    <x v="1"/>
    <s v="1507352349"/>
  </r>
  <r>
    <x v="2"/>
    <x v="2"/>
    <s v="XRP"/>
    <s v="3"/>
    <s v="0.236178"/>
    <s v="0.00005396"/>
    <x v="2"/>
    <x v="2"/>
    <x v="2"/>
    <x v="2"/>
    <x v="2"/>
    <x v="0"/>
    <x v="2"/>
    <s v="1507352341"/>
  </r>
  <r>
    <x v="3"/>
    <x v="3"/>
    <s v="BCH"/>
    <s v="4"/>
    <s v="362.85"/>
    <s v="0.0828984"/>
    <x v="3"/>
    <x v="3"/>
    <x v="3"/>
    <x v="3"/>
    <x v="3"/>
    <x v="2"/>
    <x v="3"/>
    <s v="1507352360"/>
  </r>
  <r>
    <x v="4"/>
    <x v="4"/>
    <s v="LTC"/>
    <s v="5"/>
    <s v="51.9708"/>
    <s v="0.0118735"/>
    <x v="4"/>
    <x v="4"/>
    <x v="4"/>
    <x v="4"/>
    <x v="4"/>
    <x v="3"/>
    <x v="4"/>
    <s v="1507352342"/>
  </r>
  <r>
    <x v="5"/>
    <x v="5"/>
    <s v="DASH"/>
    <s v="6"/>
    <s v="314.042"/>
    <s v="0.0717474"/>
    <x v="5"/>
    <x v="5"/>
    <x v="5"/>
    <x v="5"/>
    <x v="5"/>
    <x v="4"/>
    <x v="5"/>
    <s v="1507352346"/>
  </r>
  <r>
    <x v="6"/>
    <x v="6"/>
    <s v="XEM"/>
    <s v="7"/>
    <s v="0.210075"/>
    <s v="0.00004799"/>
    <x v="6"/>
    <x v="6"/>
    <x v="6"/>
    <x v="6"/>
    <x v="6"/>
    <x v="5"/>
    <x v="6"/>
    <s v="1507352346"/>
  </r>
  <r>
    <x v="7"/>
    <x v="7"/>
    <s v="NEO"/>
    <s v="8"/>
    <s v="34.1763"/>
    <s v="0.00780807"/>
    <x v="7"/>
    <x v="7"/>
    <x v="7"/>
    <x v="7"/>
    <x v="7"/>
    <x v="6"/>
    <x v="7"/>
    <s v="1507352351"/>
  </r>
  <r>
    <x v="8"/>
    <x v="8"/>
    <s v="MIOTA"/>
    <s v="9"/>
    <s v="0.512949"/>
    <s v="0.00011719"/>
    <x v="8"/>
    <x v="8"/>
    <x v="8"/>
    <x v="8"/>
    <x v="8"/>
    <x v="7"/>
    <x v="8"/>
    <s v="1507352358"/>
  </r>
  <r>
    <x v="9"/>
    <x v="9"/>
    <s v="XMR"/>
    <s v="10"/>
    <s v="90.8688"/>
    <s v="0.0207603"/>
    <x v="9"/>
    <x v="9"/>
    <x v="9"/>
    <x v="9"/>
    <x v="9"/>
    <x v="8"/>
    <x v="9"/>
    <s v="1507352343"/>
  </r>
  <r>
    <x v="10"/>
    <x v="10"/>
    <s v="ETC"/>
    <s v="11"/>
    <s v="12.2052"/>
    <s v="0.00278845"/>
    <x v="10"/>
    <x v="10"/>
    <x v="10"/>
    <x v="10"/>
    <x v="10"/>
    <x v="9"/>
    <x v="10"/>
    <s v="1507352352"/>
  </r>
  <r>
    <x v="11"/>
    <x v="11"/>
    <s v="BCC"/>
    <s v="12"/>
    <s v="141.769"/>
    <s v="0.0323892"/>
    <x v="11"/>
    <x v="11"/>
    <x v="11"/>
    <x v="11"/>
    <x v="11"/>
    <x v="10"/>
    <x v="11"/>
    <s v="1507352354"/>
  </r>
  <r>
    <x v="12"/>
    <x v="12"/>
    <s v="OMG"/>
    <s v="13"/>
    <s v="8.57963"/>
    <s v="0.00196014"/>
    <x v="12"/>
    <x v="12"/>
    <x v="12"/>
    <x v="12"/>
    <x v="12"/>
    <x v="11"/>
    <x v="12"/>
    <s v="1507352360"/>
  </r>
  <r>
    <x v="13"/>
    <x v="13"/>
    <s v="QTUM"/>
    <s v="14"/>
    <s v="11.6316"/>
    <s v="0.0026574"/>
    <x v="13"/>
    <x v="13"/>
    <x v="13"/>
    <x v="7"/>
    <x v="13"/>
    <x v="12"/>
    <x v="13"/>
    <s v="1507352357"/>
  </r>
  <r>
    <x v="14"/>
    <x v="14"/>
    <s v="LSK"/>
    <s v="15"/>
    <s v="5.32392"/>
    <s v="0.00121633"/>
    <x v="14"/>
    <x v="14"/>
    <x v="14"/>
    <x v="13"/>
    <x v="14"/>
    <x v="13"/>
    <x v="14"/>
    <s v="1507352349"/>
  </r>
  <r>
    <x v="15"/>
    <x v="15"/>
    <s v="ZEC"/>
    <s v="16"/>
    <s v="255.574"/>
    <s v="0.0583897"/>
    <x v="15"/>
    <x v="15"/>
    <x v="15"/>
    <x v="14"/>
    <x v="15"/>
    <x v="14"/>
    <x v="15"/>
    <s v="1507352352"/>
  </r>
  <r>
    <x v="16"/>
    <x v="16"/>
    <s v="WAVES"/>
    <s v="17"/>
    <s v="5.00279"/>
    <s v="0.00114296"/>
    <x v="16"/>
    <x v="16"/>
    <x v="16"/>
    <x v="7"/>
    <x v="16"/>
    <x v="15"/>
    <x v="16"/>
    <s v="1507352351"/>
  </r>
  <r>
    <x v="17"/>
    <x v="17"/>
    <s v="ADA"/>
    <s v="18"/>
    <s v="0.0178584"/>
    <s v="0.00000408"/>
    <x v="17"/>
    <x v="17"/>
    <x v="17"/>
    <x v="15"/>
    <x v="17"/>
    <x v="16"/>
    <x v="17"/>
    <s v="1507352364"/>
  </r>
  <r>
    <x v="18"/>
    <x v="18"/>
    <s v="USDT"/>
    <s v="19"/>
    <s v="1.00094"/>
    <s v="0.00022868"/>
    <x v="18"/>
    <x v="18"/>
    <x v="18"/>
    <x v="16"/>
    <x v="18"/>
    <x v="17"/>
    <x v="18"/>
    <s v="1507352345"/>
  </r>
  <r>
    <x v="19"/>
    <x v="19"/>
    <s v="STRAT"/>
    <s v="20"/>
    <s v="3.68223"/>
    <s v="0.00084126"/>
    <x v="19"/>
    <x v="19"/>
    <x v="19"/>
    <x v="17"/>
    <x v="19"/>
    <x v="18"/>
    <x v="19"/>
    <s v="1507352353"/>
  </r>
  <r>
    <x v="20"/>
    <x v="20"/>
    <s v="XLM"/>
    <s v="21"/>
    <s v="0.0200829"/>
    <s v="0.00000459"/>
    <x v="20"/>
    <x v="20"/>
    <x v="20"/>
    <x v="18"/>
    <x v="20"/>
    <x v="19"/>
    <x v="20"/>
    <s v="1507352344"/>
  </r>
  <r>
    <x v="21"/>
    <x v="21"/>
    <s v="STEEM"/>
    <s v="22"/>
    <s v="1.23353"/>
    <s v="0.00028182"/>
    <x v="21"/>
    <x v="21"/>
    <x v="21"/>
    <x v="19"/>
    <x v="21"/>
    <x v="20"/>
    <x v="21"/>
    <s v="1507352349"/>
  </r>
  <r>
    <x v="22"/>
    <x v="22"/>
    <s v="ARK"/>
    <s v="23"/>
    <s v="2.58715"/>
    <s v="0.00059107"/>
    <x v="22"/>
    <x v="22"/>
    <x v="22"/>
    <x v="20"/>
    <x v="22"/>
    <x v="21"/>
    <x v="22"/>
    <s v="1507352355"/>
  </r>
  <r>
    <x v="23"/>
    <x v="23"/>
    <s v="KNC"/>
    <s v="24"/>
    <s v="1.78878"/>
    <s v="0.00040867"/>
    <x v="23"/>
    <x v="23"/>
    <x v="23"/>
    <x v="21"/>
    <x v="23"/>
    <x v="22"/>
    <x v="23"/>
    <s v="1507352363"/>
  </r>
  <r>
    <x v="24"/>
    <x v="24"/>
    <s v="HSR"/>
    <s v="25"/>
    <s v="7.21237"/>
    <s v="0.00164777"/>
    <x v="24"/>
    <x v="24"/>
    <x v="24"/>
    <x v="22"/>
    <x v="24"/>
    <x v="23"/>
    <x v="24"/>
    <s v="1507352362"/>
  </r>
  <r>
    <x v="25"/>
    <x v="25"/>
    <s v="BCN"/>
    <s v="26"/>
    <s v="0.00129193"/>
    <s v="0.00000030"/>
    <x v="25"/>
    <x v="25"/>
    <x v="25"/>
    <x v="23"/>
    <x v="25"/>
    <x v="24"/>
    <x v="25"/>
    <s v="1507352344"/>
  </r>
  <r>
    <x v="26"/>
    <x v="26"/>
    <s v="GAS"/>
    <s v="27"/>
    <s v="27.6894"/>
    <s v="0.00632604"/>
    <x v="26"/>
    <x v="26"/>
    <x v="26"/>
    <x v="24"/>
    <x v="11"/>
    <x v="25"/>
    <x v="26"/>
    <s v="1507352359"/>
  </r>
  <r>
    <x v="27"/>
    <x v="27"/>
    <s v="EOS"/>
    <s v="28"/>
    <s v="0.592825"/>
    <s v="0.00013544"/>
    <x v="27"/>
    <x v="27"/>
    <x v="27"/>
    <x v="25"/>
    <x v="26"/>
    <x v="26"/>
    <x v="27"/>
    <s v="1507352359"/>
  </r>
  <r>
    <x v="28"/>
    <x v="28"/>
    <s v="REP"/>
    <s v="29"/>
    <s v="20.5356"/>
    <s v="0.00469166"/>
    <x v="28"/>
    <x v="28"/>
    <x v="28"/>
    <x v="26"/>
    <x v="27"/>
    <x v="27"/>
    <x v="28"/>
    <s v="1507352349"/>
  </r>
  <r>
    <x v="29"/>
    <x v="29"/>
    <s v="BAT"/>
    <s v="30"/>
    <s v="0.223895"/>
    <s v="0.00005115"/>
    <x v="29"/>
    <x v="29"/>
    <x v="29"/>
    <x v="27"/>
    <x v="28"/>
    <x v="28"/>
    <x v="29"/>
    <s v="1507352358"/>
  </r>
  <r>
    <x v="30"/>
    <x v="30"/>
    <s v="PAY"/>
    <s v="31"/>
    <s v="2.1137"/>
    <s v="0.00048291"/>
    <x v="30"/>
    <x v="30"/>
    <x v="30"/>
    <x v="28"/>
    <x v="29"/>
    <x v="29"/>
    <x v="30"/>
    <s v="1507352359"/>
  </r>
  <r>
    <x v="31"/>
    <x v="31"/>
    <s v="MAID"/>
    <s v="32"/>
    <s v="0.460207"/>
    <s v="0.00010514"/>
    <x v="31"/>
    <x v="31"/>
    <x v="31"/>
    <x v="29"/>
    <x v="30"/>
    <x v="30"/>
    <x v="31"/>
    <s v="1507352343"/>
  </r>
  <r>
    <x v="32"/>
    <x v="32"/>
    <s v="PIVX"/>
    <s v="33"/>
    <s v="3.6771"/>
    <s v="0.00084009"/>
    <x v="32"/>
    <x v="32"/>
    <x v="32"/>
    <x v="30"/>
    <x v="31"/>
    <x v="31"/>
    <x v="32"/>
    <s v="1507352348"/>
  </r>
  <r>
    <x v="33"/>
    <x v="33"/>
    <s v="SALT"/>
    <s v="34"/>
    <s v="3.65147"/>
    <s v="0.00083423"/>
    <x v="33"/>
    <x v="33"/>
    <x v="33"/>
    <x v="31"/>
    <x v="32"/>
    <x v="32"/>
    <x v="33"/>
    <s v="1507352363"/>
  </r>
  <r>
    <x v="34"/>
    <x v="34"/>
    <s v="WTC"/>
    <s v="35"/>
    <s v="7.64836"/>
    <s v="0.00174738"/>
    <x v="34"/>
    <x v="34"/>
    <x v="34"/>
    <x v="32"/>
    <x v="33"/>
    <x v="33"/>
    <x v="34"/>
    <s v="1507352363"/>
  </r>
  <r>
    <x v="35"/>
    <x v="35"/>
    <s v="ARDR"/>
    <s v="36"/>
    <s v="0.188076"/>
    <s v="0.00004297"/>
    <x v="35"/>
    <x v="35"/>
    <x v="35"/>
    <x v="33"/>
    <x v="34"/>
    <x v="34"/>
    <x v="35"/>
    <s v="1507352351"/>
  </r>
  <r>
    <x v="36"/>
    <x v="36"/>
    <s v="KMD"/>
    <s v="37"/>
    <s v="1.85598"/>
    <s v="0.00042403"/>
    <x v="36"/>
    <x v="36"/>
    <x v="36"/>
    <x v="34"/>
    <x v="35"/>
    <x v="35"/>
    <x v="36"/>
    <s v="1507352354"/>
  </r>
  <r>
    <x v="37"/>
    <x v="37"/>
    <s v="GNT"/>
    <s v="38"/>
    <s v="0.224345"/>
    <s v="0.00005125"/>
    <x v="37"/>
    <x v="37"/>
    <x v="37"/>
    <x v="25"/>
    <x v="36"/>
    <x v="36"/>
    <x v="37"/>
    <s v="1507352353"/>
  </r>
  <r>
    <x v="38"/>
    <x v="38"/>
    <s v="ICN"/>
    <s v="39"/>
    <s v="1.85893"/>
    <s v="0.0004247"/>
    <x v="38"/>
    <x v="38"/>
    <x v="38"/>
    <x v="35"/>
    <x v="37"/>
    <x v="37"/>
    <x v="38"/>
    <s v="1507352352"/>
  </r>
  <r>
    <x v="39"/>
    <x v="39"/>
    <s v="TRX"/>
    <s v="40"/>
    <s v="0.00279243"/>
    <s v="0.00000064"/>
    <x v="39"/>
    <x v="39"/>
    <x v="39"/>
    <x v="36"/>
    <x v="38"/>
    <x v="38"/>
    <x v="39"/>
    <s v="1507352363"/>
  </r>
  <r>
    <x v="40"/>
    <x v="40"/>
    <s v="DCR"/>
    <s v="41"/>
    <s v="30.4193"/>
    <s v="0.00694972"/>
    <x v="40"/>
    <x v="40"/>
    <x v="40"/>
    <x v="37"/>
    <x v="39"/>
    <x v="39"/>
    <x v="40"/>
    <s v="1507352348"/>
  </r>
  <r>
    <x v="41"/>
    <x v="41"/>
    <s v="LINK"/>
    <s v="42"/>
    <s v="0.462342"/>
    <s v="0.00010563"/>
    <x v="41"/>
    <x v="41"/>
    <x v="41"/>
    <x v="25"/>
    <x v="40"/>
    <x v="40"/>
    <x v="41"/>
    <s v="1507352363"/>
  </r>
  <r>
    <x v="42"/>
    <x v="42"/>
    <s v="FCT"/>
    <s v="43"/>
    <s v="17.8115"/>
    <s v="0.0040693"/>
    <x v="42"/>
    <x v="42"/>
    <x v="42"/>
    <x v="38"/>
    <x v="25"/>
    <x v="41"/>
    <x v="42"/>
    <s v="1507352349"/>
  </r>
  <r>
    <x v="43"/>
    <x v="43"/>
    <s v="GAME"/>
    <s v="44"/>
    <s v="2.40311"/>
    <s v="0.00054903"/>
    <x v="43"/>
    <x v="43"/>
    <x v="43"/>
    <x v="39"/>
    <x v="41"/>
    <x v="42"/>
    <x v="43"/>
    <s v="1507352345"/>
  </r>
  <r>
    <x v="44"/>
    <x v="44"/>
    <s v="BTS"/>
    <s v="45"/>
    <s v="0.0594433"/>
    <s v="0.00001358"/>
    <x v="44"/>
    <x v="44"/>
    <x v="44"/>
    <x v="40"/>
    <x v="14"/>
    <x v="43"/>
    <x v="44"/>
    <s v="1507352344"/>
  </r>
  <r>
    <x v="45"/>
    <x v="45"/>
    <s v="BNB"/>
    <s v="46"/>
    <s v="1.52255"/>
    <s v="0.00034785"/>
    <x v="45"/>
    <x v="45"/>
    <x v="16"/>
    <x v="41"/>
    <x v="42"/>
    <x v="44"/>
    <x v="45"/>
    <s v="1507352361"/>
  </r>
  <r>
    <x v="46"/>
    <x v="46"/>
    <s v="DGD"/>
    <s v="47"/>
    <s v="72.0002"/>
    <s v="0.0164495"/>
    <x v="46"/>
    <x v="46"/>
    <x v="45"/>
    <x v="42"/>
    <x v="43"/>
    <x v="45"/>
    <x v="46"/>
    <s v="1507352349"/>
  </r>
  <r>
    <x v="47"/>
    <x v="47"/>
    <s v="MTL"/>
    <s v="48"/>
    <s v="7.44117"/>
    <s v="0.00170004"/>
    <x v="47"/>
    <x v="47"/>
    <x v="46"/>
    <x v="43"/>
    <x v="44"/>
    <x v="46"/>
    <x v="47"/>
    <s v="1507352359"/>
  </r>
  <r>
    <x v="48"/>
    <x v="48"/>
    <s v="SC"/>
    <s v="49"/>
    <s v="0.00454848"/>
    <s v="0.00000104"/>
    <x v="48"/>
    <x v="48"/>
    <x v="47"/>
    <x v="44"/>
    <x v="45"/>
    <x v="47"/>
    <x v="48"/>
    <s v="1507352349"/>
  </r>
  <r>
    <x v="49"/>
    <x v="49"/>
    <s v="GNO"/>
    <s v="50"/>
    <s v="122.374"/>
    <s v="0.0279582"/>
    <x v="49"/>
    <x v="49"/>
    <x v="48"/>
    <x v="45"/>
    <x v="45"/>
    <x v="48"/>
    <x v="49"/>
    <s v="1507352357"/>
  </r>
  <r>
    <x v="50"/>
    <x v="50"/>
    <s v="VERI"/>
    <s v="51"/>
    <s v="63.3548"/>
    <s v="0.0144743"/>
    <x v="50"/>
    <x v="50"/>
    <x v="49"/>
    <x v="7"/>
    <x v="3"/>
    <x v="49"/>
    <x v="50"/>
    <s v="1507352358"/>
  </r>
  <r>
    <x v="51"/>
    <x v="51"/>
    <s v="DGB"/>
    <s v="52"/>
    <s v="0.013564"/>
    <s v="0.00000310"/>
    <x v="51"/>
    <x v="51"/>
    <x v="50"/>
    <x v="46"/>
    <x v="27"/>
    <x v="50"/>
    <x v="51"/>
    <s v="1507352341"/>
  </r>
  <r>
    <x v="52"/>
    <x v="52"/>
    <s v="BLOCK"/>
    <s v="53"/>
    <s v="24.5126"/>
    <s v="0.00560027"/>
    <x v="52"/>
    <x v="52"/>
    <x v="51"/>
    <x v="47"/>
    <x v="46"/>
    <x v="51"/>
    <x v="52"/>
    <s v="1507352347"/>
  </r>
  <r>
    <x v="53"/>
    <x v="53"/>
    <s v="FRST"/>
    <s v="54"/>
    <s v="10.7705"/>
    <s v="0.00246067"/>
    <x v="53"/>
    <x v="53"/>
    <x v="52"/>
    <x v="48"/>
    <x v="43"/>
    <x v="52"/>
    <x v="53"/>
    <s v="1507352354"/>
  </r>
  <r>
    <x v="54"/>
    <x v="54"/>
    <s v="DOGE"/>
    <s v="55"/>
    <s v="0.00105388"/>
    <s v="0.00000024"/>
    <x v="54"/>
    <x v="54"/>
    <x v="53"/>
    <x v="49"/>
    <x v="47"/>
    <x v="53"/>
    <x v="54"/>
    <s v="1507352342"/>
  </r>
  <r>
    <x v="55"/>
    <x v="55"/>
    <s v="CVC"/>
    <s v="56"/>
    <s v="0.341262"/>
    <s v="0.00007797"/>
    <x v="55"/>
    <x v="55"/>
    <x v="54"/>
    <x v="25"/>
    <x v="48"/>
    <x v="54"/>
    <x v="55"/>
    <s v="1507352360"/>
  </r>
  <r>
    <x v="56"/>
    <x v="56"/>
    <s v="BTCD"/>
    <s v="57"/>
    <s v="88.3673"/>
    <s v="0.0201888"/>
    <x v="56"/>
    <x v="56"/>
    <x v="55"/>
    <x v="50"/>
    <x v="11"/>
    <x v="55"/>
    <x v="56"/>
    <s v="1507352343"/>
  </r>
  <r>
    <x v="57"/>
    <x v="57"/>
    <s v="PPT"/>
    <s v="58"/>
    <s v="2.72639"/>
    <s v="0.00062288"/>
    <x v="57"/>
    <x v="57"/>
    <x v="56"/>
    <x v="51"/>
    <x v="49"/>
    <x v="56"/>
    <x v="57"/>
    <s v="1507352359"/>
  </r>
  <r>
    <x v="58"/>
    <x v="58"/>
    <s v="GBYTE"/>
    <s v="59"/>
    <s v="192.581"/>
    <s v="0.0439979"/>
    <x v="58"/>
    <x v="58"/>
    <x v="57"/>
    <x v="52"/>
    <x v="50"/>
    <x v="57"/>
    <x v="58"/>
    <s v="1507352353"/>
  </r>
  <r>
    <x v="59"/>
    <x v="59"/>
    <s v="FUN"/>
    <s v="60"/>
    <s v="0.0261549"/>
    <s v="0.00000598"/>
    <x v="59"/>
    <x v="59"/>
    <x v="58"/>
    <x v="53"/>
    <x v="51"/>
    <x v="58"/>
    <x v="59"/>
    <s v="1507352359"/>
  </r>
  <r>
    <x v="60"/>
    <x v="60"/>
    <s v="MCAP"/>
    <s v="61"/>
    <s v="2.68695"/>
    <s v="0.00061387"/>
    <x v="60"/>
    <x v="60"/>
    <x v="59"/>
    <x v="7"/>
    <x v="52"/>
    <x v="59"/>
    <x v="60"/>
    <s v="1507352357"/>
  </r>
  <r>
    <x v="61"/>
    <x v="61"/>
    <s v="SNGLS"/>
    <s v="62"/>
    <s v="0.169932"/>
    <s v="0.00003882"/>
    <x v="61"/>
    <x v="61"/>
    <x v="60"/>
    <x v="25"/>
    <x v="2"/>
    <x v="60"/>
    <x v="61"/>
    <s v="1507352352"/>
  </r>
  <r>
    <x v="62"/>
    <x v="62"/>
    <s v="SNT"/>
    <s v="63"/>
    <s v="0.0288167"/>
    <s v="0.00000658"/>
    <x v="62"/>
    <x v="62"/>
    <x v="61"/>
    <x v="54"/>
    <x v="53"/>
    <x v="61"/>
    <x v="62"/>
    <s v="1507352359"/>
  </r>
  <r>
    <x v="63"/>
    <x v="63"/>
    <s v="ZRX"/>
    <s v="64"/>
    <s v="0.19906"/>
    <s v="0.00004548"/>
    <x v="63"/>
    <x v="63"/>
    <x v="62"/>
    <x v="25"/>
    <x v="54"/>
    <x v="62"/>
    <x v="63"/>
    <s v="1507352363"/>
  </r>
  <r>
    <x v="64"/>
    <x v="64"/>
    <s v="AE"/>
    <s v="65"/>
    <s v="0.40333"/>
    <s v="0.00009215"/>
    <x v="64"/>
    <x v="64"/>
    <x v="63"/>
    <x v="55"/>
    <x v="55"/>
    <x v="63"/>
    <x v="64"/>
    <s v="1507352357"/>
  </r>
  <r>
    <x v="65"/>
    <x v="65"/>
    <s v="BNT"/>
    <s v="66"/>
    <s v="2.27155"/>
    <s v="0.00051897"/>
    <x v="65"/>
    <x v="65"/>
    <x v="64"/>
    <x v="56"/>
    <x v="56"/>
    <x v="64"/>
    <x v="65"/>
    <s v="1507352358"/>
  </r>
  <r>
    <x v="66"/>
    <x v="66"/>
    <s v="LKK"/>
    <s v="67"/>
    <s v="0.344549"/>
    <s v="0.00007872"/>
    <x v="66"/>
    <x v="66"/>
    <x v="65"/>
    <x v="57"/>
    <x v="57"/>
    <x v="65"/>
    <x v="66"/>
    <s v="1507352352"/>
  </r>
  <r>
    <x v="67"/>
    <x v="67"/>
    <s v="XVG"/>
    <s v="68"/>
    <s v="0.00679078"/>
    <s v="0.00000155"/>
    <x v="67"/>
    <x v="67"/>
    <x v="66"/>
    <x v="58"/>
    <x v="58"/>
    <x v="66"/>
    <x v="67"/>
    <s v="1507352345"/>
  </r>
  <r>
    <x v="68"/>
    <x v="68"/>
    <s v="PURA"/>
    <s v="69"/>
    <s v="0.521547"/>
    <s v="0.00011915"/>
    <x v="68"/>
    <x v="68"/>
    <x v="67"/>
    <x v="59"/>
    <x v="59"/>
    <x v="67"/>
    <x v="68"/>
    <s v="1507352345"/>
  </r>
  <r>
    <x v="69"/>
    <x v="69"/>
    <s v="BTM"/>
    <s v="70"/>
    <s v="0.0860913"/>
    <s v="0.00001967"/>
    <x v="69"/>
    <x v="69"/>
    <x v="68"/>
    <x v="60"/>
    <x v="60"/>
    <x v="68"/>
    <x v="69"/>
    <s v="1507352361"/>
  </r>
  <r>
    <x v="70"/>
    <x v="70"/>
    <s v="GXS"/>
    <s v="71"/>
    <s v="2.01344"/>
    <s v="0.00046"/>
    <x v="70"/>
    <x v="70"/>
    <x v="69"/>
    <x v="7"/>
    <x v="61"/>
    <x v="69"/>
    <x v="70"/>
    <s v="1507352359"/>
  </r>
  <r>
    <x v="71"/>
    <x v="71"/>
    <s v="VEN"/>
    <s v="72"/>
    <s v="0.291026"/>
    <s v="0.00006649"/>
    <x v="71"/>
    <x v="71"/>
    <x v="70"/>
    <x v="25"/>
    <x v="62"/>
    <x v="70"/>
    <x v="71"/>
    <s v="1507352362"/>
  </r>
  <r>
    <x v="72"/>
    <x v="72"/>
    <s v="SYS"/>
    <s v="73"/>
    <s v="0.14946"/>
    <s v="0.00003415"/>
    <x v="72"/>
    <x v="72"/>
    <x v="71"/>
    <x v="61"/>
    <x v="63"/>
    <x v="21"/>
    <x v="72"/>
    <s v="1507352344"/>
  </r>
  <r>
    <x v="73"/>
    <x v="73"/>
    <s v="NXS"/>
    <s v="74"/>
    <s v="1.48424"/>
    <s v="0.0003391"/>
    <x v="73"/>
    <x v="73"/>
    <x v="72"/>
    <x v="62"/>
    <x v="51"/>
    <x v="71"/>
    <x v="73"/>
    <s v="1507352345"/>
  </r>
  <r>
    <x v="74"/>
    <x v="74"/>
    <s v="KIN"/>
    <s v="75"/>
    <s v="0.0001028"/>
    <s v="0.00000002"/>
    <x v="74"/>
    <x v="74"/>
    <x v="73"/>
    <x v="63"/>
    <x v="64"/>
    <x v="72"/>
    <x v="74"/>
    <s v="1507352363"/>
  </r>
  <r>
    <x v="75"/>
    <x v="75"/>
    <s v="CTR"/>
    <s v="76"/>
    <s v="1.09867"/>
    <s v="0.00025101"/>
    <x v="75"/>
    <x v="75"/>
    <x v="74"/>
    <x v="64"/>
    <x v="65"/>
    <x v="73"/>
    <x v="75"/>
    <s v="1507352361"/>
  </r>
  <r>
    <x v="76"/>
    <x v="76"/>
    <s v="MCO"/>
    <s v="77"/>
    <s v="7.58225"/>
    <s v="0.00173227"/>
    <x v="76"/>
    <x v="76"/>
    <x v="75"/>
    <x v="65"/>
    <x v="66"/>
    <x v="74"/>
    <x v="76"/>
    <s v="1507352359"/>
  </r>
  <r>
    <x v="77"/>
    <x v="77"/>
    <s v="KICK"/>
    <s v="78"/>
    <s v="0.210817"/>
    <s v="0.00004816"/>
    <x v="77"/>
    <x v="77"/>
    <x v="76"/>
    <x v="66"/>
    <x v="67"/>
    <x v="75"/>
    <x v="17"/>
    <s v="1507352363"/>
  </r>
  <r>
    <x v="78"/>
    <x v="78"/>
    <s v="ADX"/>
    <s v="79"/>
    <s v="1.19465"/>
    <s v="0.00027293"/>
    <x v="78"/>
    <x v="78"/>
    <x v="77"/>
    <x v="7"/>
    <x v="52"/>
    <x v="76"/>
    <x v="77"/>
    <s v="1507352359"/>
  </r>
  <r>
    <x v="79"/>
    <x v="79"/>
    <s v="ADK"/>
    <s v="80"/>
    <s v="6.47803"/>
    <s v="0.00148"/>
    <x v="79"/>
    <x v="79"/>
    <x v="78"/>
    <x v="67"/>
    <x v="18"/>
    <x v="77"/>
    <x v="78"/>
    <s v="1507352357"/>
  </r>
  <r>
    <x v="80"/>
    <x v="80"/>
    <s v="NXT"/>
    <s v="81"/>
    <s v="0.0660773"/>
    <s v="0.00001510"/>
    <x v="80"/>
    <x v="80"/>
    <x v="79"/>
    <x v="68"/>
    <x v="68"/>
    <x v="78"/>
    <x v="79"/>
    <s v="1507352342"/>
  </r>
  <r>
    <x v="81"/>
    <x v="81"/>
    <s v="LRC"/>
    <s v="82"/>
    <s v="0.209784"/>
    <s v="0.00004793"/>
    <x v="81"/>
    <x v="81"/>
    <x v="80"/>
    <x v="69"/>
    <x v="69"/>
    <x v="79"/>
    <x v="80"/>
    <s v="1507352362"/>
  </r>
  <r>
    <x v="82"/>
    <x v="82"/>
    <s v="UBQ"/>
    <s v="83"/>
    <s v="1.53405"/>
    <s v="0.00035047"/>
    <x v="82"/>
    <x v="82"/>
    <x v="81"/>
    <x v="70"/>
    <x v="6"/>
    <x v="80"/>
    <x v="81"/>
    <s v="1507352346"/>
  </r>
  <r>
    <x v="83"/>
    <x v="83"/>
    <s v="BDL"/>
    <s v="84"/>
    <s v="0.37"/>
    <s v="0.00008453"/>
    <x v="83"/>
    <x v="83"/>
    <x v="82"/>
    <x v="71"/>
    <x v="70"/>
    <x v="81"/>
    <x v="82"/>
    <s v="1507352359"/>
  </r>
  <r>
    <x v="84"/>
    <x v="84"/>
    <s v="ANT"/>
    <s v="85"/>
    <s v="1.73254"/>
    <s v="0.00039582"/>
    <x v="84"/>
    <x v="84"/>
    <x v="83"/>
    <x v="72"/>
    <x v="71"/>
    <x v="82"/>
    <x v="83"/>
    <s v="1507352357"/>
  </r>
  <r>
    <x v="85"/>
    <x v="85"/>
    <s v="SNM"/>
    <s v="86"/>
    <s v="0.154722"/>
    <s v="0.00003535"/>
    <x v="85"/>
    <x v="85"/>
    <x v="84"/>
    <x v="73"/>
    <x v="72"/>
    <x v="83"/>
    <x v="84"/>
    <s v="1507352359"/>
  </r>
  <r>
    <x v="86"/>
    <x v="86"/>
    <s v="MGO"/>
    <s v="87"/>
    <s v="0.549391"/>
    <s v="0.00012552"/>
    <x v="86"/>
    <x v="86"/>
    <x v="85"/>
    <x v="7"/>
    <x v="73"/>
    <x v="84"/>
    <x v="85"/>
    <s v="1507352358"/>
  </r>
  <r>
    <x v="87"/>
    <x v="87"/>
    <s v="VTC"/>
    <s v="88"/>
    <s v="1.34146"/>
    <s v="0.00030648"/>
    <x v="87"/>
    <x v="87"/>
    <x v="86"/>
    <x v="74"/>
    <x v="74"/>
    <x v="85"/>
    <x v="86"/>
    <s v="1507352341"/>
  </r>
  <r>
    <x v="88"/>
    <x v="88"/>
    <s v="EDG"/>
    <s v="89"/>
    <s v="0.638288"/>
    <s v="0.00014583"/>
    <x v="88"/>
    <x v="88"/>
    <x v="87"/>
    <x v="75"/>
    <x v="75"/>
    <x v="86"/>
    <x v="87"/>
    <s v="1507352357"/>
  </r>
  <r>
    <x v="89"/>
    <x v="89"/>
    <s v="IOC"/>
    <s v="90"/>
    <s v="3.17047"/>
    <s v="0.00072434"/>
    <x v="89"/>
    <x v="89"/>
    <x v="88"/>
    <x v="76"/>
    <x v="0"/>
    <x v="87"/>
    <x v="88"/>
    <s v="1507352345"/>
  </r>
  <r>
    <x v="90"/>
    <x v="90"/>
    <s v="MDA"/>
    <s v="91"/>
    <s v="2.57979"/>
    <s v="0.00058939"/>
    <x v="90"/>
    <x v="90"/>
    <x v="89"/>
    <x v="77"/>
    <x v="76"/>
    <x v="88"/>
    <x v="89"/>
    <s v="1507352362"/>
  </r>
  <r>
    <x v="91"/>
    <x v="91"/>
    <s v="WINGS"/>
    <s v="92"/>
    <s v="0.549367"/>
    <s v="0.00012551"/>
    <x v="91"/>
    <x v="91"/>
    <x v="90"/>
    <x v="7"/>
    <x v="77"/>
    <x v="89"/>
    <x v="90"/>
    <s v="1507352353"/>
  </r>
  <r>
    <x v="92"/>
    <x v="92"/>
    <s v="PART"/>
    <s v="93"/>
    <s v="6.24623"/>
    <s v="0.00142704"/>
    <x v="92"/>
    <x v="92"/>
    <x v="91"/>
    <x v="78"/>
    <x v="78"/>
    <x v="90"/>
    <x v="91"/>
    <s v="1507352360"/>
  </r>
  <r>
    <x v="93"/>
    <x v="93"/>
    <s v="BQX"/>
    <s v="94"/>
    <s v="0.637159"/>
    <s v="0.00014557"/>
    <x v="93"/>
    <x v="93"/>
    <x v="92"/>
    <x v="79"/>
    <x v="79"/>
    <x v="91"/>
    <x v="92"/>
    <s v="1507352360"/>
  </r>
  <r>
    <x v="94"/>
    <x v="94"/>
    <s v="NAV"/>
    <s v="95"/>
    <s v="0.7276"/>
    <s v="0.00016623"/>
    <x v="94"/>
    <x v="94"/>
    <x v="93"/>
    <x v="80"/>
    <x v="80"/>
    <x v="92"/>
    <x v="93"/>
    <s v="1507352345"/>
  </r>
  <r>
    <x v="95"/>
    <x v="95"/>
    <s v="RLC"/>
    <s v="96"/>
    <s v="0.562807"/>
    <s v="0.00012858"/>
    <x v="95"/>
    <x v="95"/>
    <x v="94"/>
    <x v="81"/>
    <x v="81"/>
    <x v="93"/>
    <x v="94"/>
    <s v="1507352357"/>
  </r>
  <r>
    <x v="96"/>
    <x v="96"/>
    <s v="MLN"/>
    <s v="97"/>
    <s v="68.9912"/>
    <s v="0.015762"/>
    <x v="96"/>
    <x v="96"/>
    <x v="95"/>
    <x v="82"/>
    <x v="0"/>
    <x v="94"/>
    <x v="95"/>
    <s v="1507352356"/>
  </r>
  <r>
    <x v="97"/>
    <x v="97"/>
    <s v="CFI"/>
    <s v="98"/>
    <s v="0.126609"/>
    <s v="0.00002893"/>
    <x v="97"/>
    <x v="97"/>
    <x v="96"/>
    <x v="83"/>
    <x v="82"/>
    <x v="95"/>
    <x v="96"/>
    <s v="1507352358"/>
  </r>
  <r>
    <x v="98"/>
    <x v="98"/>
    <s v="NLG"/>
    <s v="99"/>
    <s v="0.114024"/>
    <s v="0.00002605"/>
    <x v="98"/>
    <x v="98"/>
    <x v="97"/>
    <x v="84"/>
    <x v="83"/>
    <x v="96"/>
    <x v="97"/>
    <s v="1507352343"/>
  </r>
  <r>
    <x v="99"/>
    <x v="99"/>
    <s v="STORJ"/>
    <s v="100"/>
    <s v="0.405666"/>
    <s v="0.00009268"/>
    <x v="99"/>
    <x v="99"/>
    <x v="98"/>
    <x v="85"/>
    <x v="84"/>
    <x v="97"/>
    <x v="98"/>
    <s v="1507352359"/>
  </r>
  <r>
    <x v="100"/>
    <x v="100"/>
    <s v="DCN"/>
    <s v="101"/>
    <s v="0.000122467"/>
    <s v="0.00000003"/>
    <x v="100"/>
    <x v="100"/>
    <x v="99"/>
    <x v="86"/>
    <x v="85"/>
    <x v="98"/>
    <x v="99"/>
    <s v="1507352361"/>
  </r>
  <r>
    <x v="101"/>
    <x v="101"/>
    <s v="RISE"/>
    <s v="102"/>
    <s v="0.326546"/>
    <s v="0.00007460"/>
    <x v="101"/>
    <x v="101"/>
    <x v="100"/>
    <x v="87"/>
    <x v="86"/>
    <x v="99"/>
    <x v="100"/>
    <s v="1507352350"/>
  </r>
  <r>
    <x v="102"/>
    <x v="102"/>
    <s v="XEL"/>
    <s v="103"/>
    <s v="0.412537"/>
    <s v="0.00009425"/>
    <x v="102"/>
    <x v="102"/>
    <x v="101"/>
    <x v="7"/>
    <x v="87"/>
    <x v="100"/>
    <x v="101"/>
    <s v="1507352358"/>
  </r>
  <r>
    <x v="103"/>
    <x v="103"/>
    <s v="AEON"/>
    <s v="104"/>
    <s v="2.38031"/>
    <s v="0.00054382"/>
    <x v="103"/>
    <x v="103"/>
    <x v="102"/>
    <x v="88"/>
    <x v="88"/>
    <x v="101"/>
    <x v="102"/>
    <s v="1507352347"/>
  </r>
  <r>
    <x v="104"/>
    <x v="104"/>
    <s v="REC"/>
    <s v="105"/>
    <s v="12.387"/>
    <s v="0.00283"/>
    <x v="104"/>
    <x v="104"/>
    <x v="103"/>
    <x v="89"/>
    <x v="89"/>
    <x v="60"/>
    <x v="17"/>
    <s v="1507352363"/>
  </r>
  <r>
    <x v="105"/>
    <x v="105"/>
    <s v="ATB"/>
    <s v="106"/>
    <s v="0.905174"/>
    <s v="0.0002068"/>
    <x v="105"/>
    <x v="105"/>
    <x v="104"/>
    <x v="90"/>
    <x v="90"/>
    <x v="102"/>
    <x v="103"/>
    <s v="1507352363"/>
  </r>
  <r>
    <x v="106"/>
    <x v="106"/>
    <s v="XZC"/>
    <s v="107"/>
    <s v="10.9474"/>
    <s v="0.00250108"/>
    <x v="106"/>
    <x v="106"/>
    <x v="105"/>
    <x v="91"/>
    <x v="91"/>
    <x v="103"/>
    <x v="104"/>
    <s v="1507352352"/>
  </r>
  <r>
    <x v="107"/>
    <x v="107"/>
    <s v="TKN"/>
    <s v="108"/>
    <s v="1.45659"/>
    <s v="0.00033278"/>
    <x v="107"/>
    <x v="107"/>
    <x v="106"/>
    <x v="92"/>
    <x v="92"/>
    <x v="104"/>
    <x v="105"/>
    <s v="1507352357"/>
  </r>
  <r>
    <x v="108"/>
    <x v="108"/>
    <s v="TAAS"/>
    <s v="109"/>
    <s v="4.18239"/>
    <s v="0.00095553"/>
    <x v="108"/>
    <x v="108"/>
    <x v="107"/>
    <x v="93"/>
    <x v="10"/>
    <x v="105"/>
    <x v="106"/>
    <s v="1507352356"/>
  </r>
  <r>
    <x v="109"/>
    <x v="109"/>
    <s v="CLOAK"/>
    <s v="110"/>
    <s v="6.53522"/>
    <s v="0.00149307"/>
    <x v="109"/>
    <x v="109"/>
    <x v="108"/>
    <x v="94"/>
    <x v="93"/>
    <x v="106"/>
    <x v="107"/>
    <s v="1507352349"/>
  </r>
  <r>
    <x v="110"/>
    <x v="110"/>
    <s v="SUB"/>
    <s v="111"/>
    <s v="0.147333"/>
    <s v="0.00003366"/>
    <x v="110"/>
    <x v="110"/>
    <x v="109"/>
    <x v="95"/>
    <x v="94"/>
    <x v="107"/>
    <x v="108"/>
    <s v="1507352363"/>
  </r>
  <r>
    <x v="111"/>
    <x v="111"/>
    <s v="VIB"/>
    <s v="112"/>
    <s v="0.235537"/>
    <s v="0.00005381"/>
    <x v="111"/>
    <x v="111"/>
    <x v="110"/>
    <x v="41"/>
    <x v="95"/>
    <x v="108"/>
    <x v="17"/>
    <s v="1507352364"/>
  </r>
  <r>
    <x v="112"/>
    <x v="112"/>
    <s v="FAIR"/>
    <s v="113"/>
    <s v="0.616639"/>
    <s v="0.00014088"/>
    <x v="112"/>
    <x v="112"/>
    <x v="111"/>
    <x v="96"/>
    <x v="96"/>
    <x v="109"/>
    <x v="109"/>
    <s v="1507352343"/>
  </r>
  <r>
    <x v="113"/>
    <x v="113"/>
    <s v="NLC2"/>
    <s v="114"/>
    <s v="0.158979"/>
    <s v="0.00003632"/>
    <x v="113"/>
    <x v="113"/>
    <x v="112"/>
    <x v="97"/>
    <x v="97"/>
    <x v="110"/>
    <x v="110"/>
    <s v="1507352354"/>
  </r>
  <r>
    <x v="114"/>
    <x v="114"/>
    <s v="MANA"/>
    <s v="115"/>
    <s v="0.0141904"/>
    <s v="0.00000324"/>
    <x v="114"/>
    <x v="114"/>
    <x v="113"/>
    <x v="98"/>
    <x v="98"/>
    <x v="111"/>
    <x v="111"/>
    <s v="1507352363"/>
  </r>
  <r>
    <x v="115"/>
    <x v="115"/>
    <s v="TNT"/>
    <s v="116"/>
    <s v="0.0755065"/>
    <s v="0.00001725"/>
    <x v="115"/>
    <x v="115"/>
    <x v="114"/>
    <x v="25"/>
    <x v="99"/>
    <x v="112"/>
    <x v="112"/>
    <s v="1507352362"/>
  </r>
  <r>
    <x v="116"/>
    <x v="116"/>
    <s v="MONA"/>
    <s v="117"/>
    <s v="0.584875"/>
    <s v="0.00013362"/>
    <x v="116"/>
    <x v="116"/>
    <x v="115"/>
    <x v="99"/>
    <x v="100"/>
    <x v="113"/>
    <x v="113"/>
    <s v="1507352344"/>
  </r>
  <r>
    <x v="117"/>
    <x v="117"/>
    <s v="BAY"/>
    <s v="118"/>
    <s v="0.0306386"/>
    <s v="0.00000700"/>
    <x v="117"/>
    <x v="117"/>
    <x v="116"/>
    <x v="100"/>
    <x v="101"/>
    <x v="114"/>
    <x v="114"/>
    <s v="1507352345"/>
  </r>
  <r>
    <x v="118"/>
    <x v="118"/>
    <s v="1ST"/>
    <s v="119"/>
    <s v="0.360747"/>
    <s v="0.00008242"/>
    <x v="118"/>
    <x v="118"/>
    <x v="117"/>
    <x v="101"/>
    <x v="102"/>
    <x v="115"/>
    <x v="115"/>
    <s v="1507352352"/>
  </r>
  <r>
    <x v="119"/>
    <x v="119"/>
    <s v="MTH"/>
    <s v="120"/>
    <s v="0.142229"/>
    <s v="0.00003249"/>
    <x v="119"/>
    <x v="119"/>
    <x v="118"/>
    <x v="102"/>
    <x v="49"/>
    <x v="116"/>
    <x v="116"/>
    <s v="1507352363"/>
  </r>
  <r>
    <x v="120"/>
    <x v="120"/>
    <s v="DCT"/>
    <s v="121"/>
    <s v="0.597608"/>
    <s v="0.00013653"/>
    <x v="120"/>
    <x v="120"/>
    <x v="119"/>
    <x v="103"/>
    <x v="103"/>
    <x v="117"/>
    <x v="117"/>
    <s v="1507352353"/>
  </r>
  <r>
    <x v="121"/>
    <x v="121"/>
    <s v="PPC"/>
    <s v="122"/>
    <s v="1.23335"/>
    <s v="0.00028178"/>
    <x v="121"/>
    <x v="121"/>
    <x v="120"/>
    <x v="104"/>
    <x v="14"/>
    <x v="118"/>
    <x v="118"/>
    <s v="1507352340"/>
  </r>
  <r>
    <x v="122"/>
    <x v="122"/>
    <s v="TGT"/>
    <s v="123"/>
    <s v="0.0306594"/>
    <s v="0.00000700"/>
    <x v="122"/>
    <x v="122"/>
    <x v="121"/>
    <x v="105"/>
    <x v="104"/>
    <x v="119"/>
    <x v="119"/>
    <s v="1507352363"/>
  </r>
  <r>
    <x v="123"/>
    <x v="123"/>
    <s v="STX"/>
    <s v="124"/>
    <s v="0.973927"/>
    <s v="0.00022251"/>
    <x v="123"/>
    <x v="123"/>
    <x v="122"/>
    <x v="106"/>
    <x v="105"/>
    <x v="120"/>
    <x v="120"/>
    <s v="1507352361"/>
  </r>
  <r>
    <x v="124"/>
    <x v="124"/>
    <s v="NEBL"/>
    <s v="125"/>
    <s v="2.30259"/>
    <s v="0.00052606"/>
    <x v="124"/>
    <x v="124"/>
    <x v="123"/>
    <x v="107"/>
    <x v="106"/>
    <x v="121"/>
    <x v="121"/>
    <s v="1507352364"/>
  </r>
  <r>
    <x v="125"/>
    <x v="125"/>
    <s v="DNT"/>
    <s v="126"/>
    <s v="0.0473771"/>
    <s v="0.00001082"/>
    <x v="125"/>
    <x v="125"/>
    <x v="60"/>
    <x v="25"/>
    <x v="107"/>
    <x v="14"/>
    <x v="122"/>
    <s v="1507352361"/>
  </r>
  <r>
    <x v="126"/>
    <x v="126"/>
    <s v="TRST"/>
    <s v="127"/>
    <s v="0.306502"/>
    <s v="0.00007002"/>
    <x v="126"/>
    <x v="126"/>
    <x v="124"/>
    <x v="7"/>
    <x v="108"/>
    <x v="122"/>
    <x v="123"/>
    <s v="1507352357"/>
  </r>
  <r>
    <x v="127"/>
    <x v="127"/>
    <s v="ETP"/>
    <s v="128"/>
    <s v="1.24714"/>
    <s v="0.00028493"/>
    <x v="127"/>
    <x v="127"/>
    <x v="125"/>
    <x v="108"/>
    <x v="109"/>
    <x v="123"/>
    <x v="124"/>
    <s v="1507352358"/>
  </r>
  <r>
    <x v="128"/>
    <x v="128"/>
    <s v="RDD"/>
    <s v="129"/>
    <s v="0.000964475"/>
    <s v="0.00000022"/>
    <x v="128"/>
    <x v="128"/>
    <x v="126"/>
    <x v="109"/>
    <x v="110"/>
    <x v="117"/>
    <x v="125"/>
    <s v="1507352343"/>
  </r>
  <r>
    <x v="129"/>
    <x v="129"/>
    <s v="XRL"/>
    <s v="130"/>
    <s v="0.323058"/>
    <s v="0.00007381"/>
    <x v="129"/>
    <x v="129"/>
    <x v="127"/>
    <x v="7"/>
    <x v="111"/>
    <x v="124"/>
    <x v="126"/>
    <s v="1507352360"/>
  </r>
  <r>
    <x v="130"/>
    <x v="130"/>
    <s v="QRL"/>
    <s v="131"/>
    <s v="0.525703"/>
    <s v="0.0001201"/>
    <x v="130"/>
    <x v="130"/>
    <x v="128"/>
    <x v="110"/>
    <x v="112"/>
    <x v="125"/>
    <x v="127"/>
    <s v="1507352358"/>
  </r>
  <r>
    <x v="131"/>
    <x v="131"/>
    <s v="VIA"/>
    <s v="132"/>
    <s v="1.17562"/>
    <s v="0.00026859"/>
    <x v="131"/>
    <x v="131"/>
    <x v="129"/>
    <x v="111"/>
    <x v="113"/>
    <x v="126"/>
    <x v="128"/>
    <s v="1507352345"/>
  </r>
  <r>
    <x v="132"/>
    <x v="132"/>
    <s v="UNO"/>
    <s v="133"/>
    <s v="128.177"/>
    <s v="0.029284"/>
    <x v="132"/>
    <x v="132"/>
    <x v="130"/>
    <x v="112"/>
    <x v="18"/>
    <x v="127"/>
    <x v="129"/>
    <s v="1507352342"/>
  </r>
  <r>
    <x v="133"/>
    <x v="133"/>
    <s v="CDT"/>
    <s v="134"/>
    <s v="0.0457702"/>
    <s v="0.00001046"/>
    <x v="133"/>
    <x v="133"/>
    <x v="131"/>
    <x v="25"/>
    <x v="114"/>
    <x v="128"/>
    <x v="130"/>
    <s v="1507352361"/>
  </r>
  <r>
    <x v="134"/>
    <x v="134"/>
    <s v="CREDO"/>
    <s v="135"/>
    <s v="0.0458427"/>
    <s v="0.00001047"/>
    <x v="134"/>
    <x v="134"/>
    <x v="132"/>
    <x v="113"/>
    <x v="115"/>
    <x v="129"/>
    <x v="131"/>
    <s v="1507352363"/>
  </r>
  <r>
    <x v="135"/>
    <x v="135"/>
    <s v="XCP"/>
    <s v="136"/>
    <s v="9.56519"/>
    <s v="0.00218531"/>
    <x v="135"/>
    <x v="135"/>
    <x v="133"/>
    <x v="114"/>
    <x v="68"/>
    <x v="130"/>
    <x v="132"/>
    <s v="1507352343"/>
  </r>
  <r>
    <x v="136"/>
    <x v="136"/>
    <s v="SPR"/>
    <s v="137"/>
    <s v="2.75691"/>
    <s v="0.00062986"/>
    <x v="136"/>
    <x v="136"/>
    <x v="134"/>
    <x v="115"/>
    <x v="116"/>
    <x v="131"/>
    <x v="133"/>
    <s v="1507352344"/>
  </r>
  <r>
    <x v="137"/>
    <x v="137"/>
    <s v="EMC"/>
    <s v="138"/>
    <s v="0.598695"/>
    <s v="0.00013678"/>
    <x v="137"/>
    <x v="137"/>
    <x v="135"/>
    <x v="116"/>
    <x v="117"/>
    <x v="132"/>
    <x v="134"/>
    <s v="1507352345"/>
  </r>
  <r>
    <x v="138"/>
    <x v="138"/>
    <s v="CLAM"/>
    <s v="139"/>
    <s v="9.13166"/>
    <s v="0.00208626"/>
    <x v="138"/>
    <x v="138"/>
    <x v="136"/>
    <x v="117"/>
    <x v="39"/>
    <x v="133"/>
    <x v="135"/>
    <s v="1507352345"/>
  </r>
  <r>
    <x v="139"/>
    <x v="139"/>
    <s v="XAS"/>
    <s v="140"/>
    <s v="0.321144"/>
    <s v="0.00007337"/>
    <x v="139"/>
    <x v="139"/>
    <x v="137"/>
    <x v="7"/>
    <x v="43"/>
    <x v="134"/>
    <x v="136"/>
    <s v="1507352355"/>
  </r>
  <r>
    <x v="140"/>
    <x v="140"/>
    <s v="BMC"/>
    <s v="141"/>
    <s v="0.795198"/>
    <s v="0.00018168"/>
    <x v="140"/>
    <x v="140"/>
    <x v="138"/>
    <x v="118"/>
    <x v="9"/>
    <x v="135"/>
    <x v="137"/>
    <s v="1507352363"/>
  </r>
  <r>
    <x v="141"/>
    <x v="141"/>
    <s v="PTOY"/>
    <s v="142"/>
    <s v="0.338461"/>
    <s v="0.00007733"/>
    <x v="141"/>
    <x v="141"/>
    <x v="139"/>
    <x v="119"/>
    <x v="15"/>
    <x v="136"/>
    <x v="138"/>
    <s v="1507352357"/>
  </r>
  <r>
    <x v="142"/>
    <x v="142"/>
    <s v="DMD"/>
    <s v="143"/>
    <s v="9.45219"/>
    <s v="0.00215949"/>
    <x v="142"/>
    <x v="142"/>
    <x v="140"/>
    <x v="120"/>
    <x v="118"/>
    <x v="137"/>
    <x v="139"/>
    <s v="1507352341"/>
  </r>
  <r>
    <x v="143"/>
    <x v="143"/>
    <s v="DICE"/>
    <s v="144"/>
    <s v="3.2963"/>
    <s v="0.00075309"/>
    <x v="143"/>
    <x v="143"/>
    <x v="141"/>
    <x v="121"/>
    <x v="119"/>
    <x v="138"/>
    <x v="140"/>
    <s v="1507352357"/>
  </r>
  <r>
    <x v="144"/>
    <x v="144"/>
    <s v="ION"/>
    <s v="145"/>
    <s v="1.36546"/>
    <s v="0.00031196"/>
    <x v="144"/>
    <x v="144"/>
    <x v="142"/>
    <x v="122"/>
    <x v="120"/>
    <x v="139"/>
    <x v="141"/>
    <s v="1507352350"/>
  </r>
  <r>
    <x v="145"/>
    <x v="145"/>
    <s v="TRIG"/>
    <s v="146"/>
    <s v="0.699452"/>
    <s v="0.0001598"/>
    <x v="145"/>
    <x v="145"/>
    <x v="143"/>
    <x v="123"/>
    <x v="121"/>
    <x v="140"/>
    <x v="142"/>
    <s v="1507352353"/>
  </r>
  <r>
    <x v="146"/>
    <x v="146"/>
    <s v="CRW"/>
    <s v="147"/>
    <s v="1.40912"/>
    <s v="0.00032193"/>
    <x v="146"/>
    <x v="146"/>
    <x v="144"/>
    <x v="124"/>
    <x v="89"/>
    <x v="141"/>
    <x v="143"/>
    <s v="1507352347"/>
  </r>
  <r>
    <x v="147"/>
    <x v="147"/>
    <s v="SAFEX"/>
    <s v="148"/>
    <s v="0.00989788"/>
    <s v="0.00000226"/>
    <x v="147"/>
    <x v="147"/>
    <x v="145"/>
    <x v="125"/>
    <x v="122"/>
    <x v="142"/>
    <x v="144"/>
    <s v="1507352349"/>
  </r>
  <r>
    <x v="148"/>
    <x v="148"/>
    <s v="XAUR"/>
    <s v="149"/>
    <s v="0.1662"/>
    <s v="0.00003797"/>
    <x v="148"/>
    <x v="148"/>
    <x v="146"/>
    <x v="126"/>
    <x v="123"/>
    <x v="143"/>
    <x v="145"/>
    <s v="1507352346"/>
  </r>
  <r>
    <x v="149"/>
    <x v="149"/>
    <s v="POE"/>
    <s v="150"/>
    <s v="0.00958475"/>
    <s v="0.00000219"/>
    <x v="149"/>
    <x v="149"/>
    <x v="147"/>
    <x v="127"/>
    <x v="124"/>
    <x v="144"/>
    <x v="146"/>
    <s v="1507352363"/>
  </r>
  <r>
    <x v="150"/>
    <x v="150"/>
    <s v="SIB"/>
    <s v="151"/>
    <s v="1.30404"/>
    <s v="0.00029793"/>
    <x v="150"/>
    <x v="150"/>
    <x v="148"/>
    <x v="128"/>
    <x v="125"/>
    <x v="145"/>
    <x v="147"/>
    <s v="1507352348"/>
  </r>
  <r>
    <x v="151"/>
    <x v="151"/>
    <s v="TCC"/>
    <s v="152"/>
    <s v="0.122995"/>
    <s v="0.00002810"/>
    <x v="151"/>
    <x v="151"/>
    <x v="149"/>
    <x v="129"/>
    <x v="29"/>
    <x v="8"/>
    <x v="148"/>
    <s v="1507352361"/>
  </r>
  <r>
    <x v="152"/>
    <x v="152"/>
    <s v="RVT"/>
    <s v="153"/>
    <s v="0.749221"/>
    <s v="0.00017117"/>
    <x v="152"/>
    <x v="152"/>
    <x v="150"/>
    <x v="41"/>
    <x v="126"/>
    <x v="146"/>
    <x v="149"/>
    <s v="1507352364"/>
  </r>
  <r>
    <x v="153"/>
    <x v="153"/>
    <s v="ADT"/>
    <s v="154"/>
    <s v="0.0321297"/>
    <s v="0.00000734"/>
    <x v="153"/>
    <x v="153"/>
    <x v="60"/>
    <x v="25"/>
    <x v="127"/>
    <x v="147"/>
    <x v="150"/>
    <s v="1507352359"/>
  </r>
  <r>
    <x v="154"/>
    <x v="154"/>
    <s v="SKY"/>
    <s v="155"/>
    <s v="3.23271"/>
    <s v="0.00073856"/>
    <x v="154"/>
    <x v="154"/>
    <x v="151"/>
    <x v="7"/>
    <x v="18"/>
    <x v="148"/>
    <x v="151"/>
    <s v="1507352356"/>
  </r>
  <r>
    <x v="155"/>
    <x v="155"/>
    <s v="HMQ"/>
    <s v="156"/>
    <s v="0.117285"/>
    <s v="0.00002680"/>
    <x v="155"/>
    <x v="155"/>
    <x v="152"/>
    <x v="130"/>
    <x v="118"/>
    <x v="96"/>
    <x v="152"/>
    <s v="1507352357"/>
  </r>
  <r>
    <x v="156"/>
    <x v="156"/>
    <s v="EMC2"/>
    <s v="157"/>
    <s v="0.0891024"/>
    <s v="0.00002036"/>
    <x v="156"/>
    <x v="156"/>
    <x v="153"/>
    <x v="131"/>
    <x v="128"/>
    <x v="149"/>
    <x v="153"/>
    <s v="1507352342"/>
  </r>
  <r>
    <x v="157"/>
    <x v="157"/>
    <s v="NXC"/>
    <s v="158"/>
    <s v="0.28538"/>
    <s v="0.00006520"/>
    <x v="157"/>
    <x v="157"/>
    <x v="154"/>
    <x v="132"/>
    <x v="129"/>
    <x v="38"/>
    <x v="154"/>
    <s v="1507352355"/>
  </r>
  <r>
    <x v="158"/>
    <x v="158"/>
    <s v="DLT"/>
    <s v="159"/>
    <s v="0.219254"/>
    <s v="0.00005009"/>
    <x v="158"/>
    <x v="158"/>
    <x v="155"/>
    <x v="133"/>
    <x v="130"/>
    <x v="150"/>
    <x v="155"/>
    <s v="1507352362"/>
  </r>
  <r>
    <x v="159"/>
    <x v="159"/>
    <s v="LEO"/>
    <s v="160"/>
    <s v="0.205112"/>
    <s v="0.00004686"/>
    <x v="159"/>
    <x v="159"/>
    <x v="156"/>
    <x v="134"/>
    <x v="40"/>
    <x v="151"/>
    <x v="156"/>
    <s v="1507352347"/>
  </r>
  <r>
    <x v="160"/>
    <x v="160"/>
    <s v="MSP"/>
    <s v="161"/>
    <s v="0.131414"/>
    <s v="0.00003002"/>
    <x v="160"/>
    <x v="160"/>
    <x v="110"/>
    <x v="41"/>
    <x v="86"/>
    <x v="152"/>
    <x v="157"/>
    <s v="1507352360"/>
  </r>
  <r>
    <x v="161"/>
    <x v="161"/>
    <s v="MUE"/>
    <s v="162"/>
    <s v="0.14453"/>
    <s v="0.00003302"/>
    <x v="161"/>
    <x v="161"/>
    <x v="157"/>
    <x v="135"/>
    <x v="131"/>
    <x v="153"/>
    <x v="158"/>
    <s v="1507352345"/>
  </r>
  <r>
    <x v="162"/>
    <x v="162"/>
    <s v="NMR"/>
    <s v="163"/>
    <s v="14.4397"/>
    <s v="0.00329896"/>
    <x v="162"/>
    <x v="162"/>
    <x v="158"/>
    <x v="136"/>
    <x v="132"/>
    <x v="154"/>
    <x v="159"/>
    <s v="1507352358"/>
  </r>
  <r>
    <x v="163"/>
    <x v="163"/>
    <s v="NMC"/>
    <s v="164"/>
    <s v="1.19344"/>
    <s v="0.00027266"/>
    <x v="163"/>
    <x v="163"/>
    <x v="159"/>
    <x v="137"/>
    <x v="10"/>
    <x v="155"/>
    <x v="160"/>
    <s v="1507352340"/>
  </r>
  <r>
    <x v="164"/>
    <x v="164"/>
    <s v="AVT"/>
    <s v="165"/>
    <s v="2.92174"/>
    <s v="0.00066751"/>
    <x v="164"/>
    <x v="164"/>
    <x v="160"/>
    <x v="45"/>
    <x v="133"/>
    <x v="100"/>
    <x v="161"/>
    <s v="1507352364"/>
  </r>
  <r>
    <x v="165"/>
    <x v="165"/>
    <s v="SAN"/>
    <s v="166"/>
    <s v="0.303095"/>
    <s v="0.00006925"/>
    <x v="165"/>
    <x v="165"/>
    <x v="161"/>
    <x v="138"/>
    <x v="134"/>
    <x v="156"/>
    <x v="162"/>
    <s v="1507352359"/>
  </r>
  <r>
    <x v="166"/>
    <x v="166"/>
    <s v="CMP"/>
    <s v="167"/>
    <s v="3.93946"/>
    <s v="0.00090003"/>
    <x v="166"/>
    <x v="166"/>
    <x v="162"/>
    <x v="139"/>
    <x v="18"/>
    <x v="157"/>
    <x v="163"/>
    <s v="1507352361"/>
  </r>
  <r>
    <x v="167"/>
    <x v="167"/>
    <s v="RBY"/>
    <s v="168"/>
    <s v="0.656136"/>
    <s v="0.0001499"/>
    <x v="167"/>
    <x v="167"/>
    <x v="163"/>
    <x v="140"/>
    <x v="43"/>
    <x v="158"/>
    <x v="164"/>
    <s v="1507352342"/>
  </r>
  <r>
    <x v="168"/>
    <x v="168"/>
    <s v="VSL"/>
    <s v="169"/>
    <s v="0.48642"/>
    <s v="0.00011113"/>
    <x v="168"/>
    <x v="168"/>
    <x v="164"/>
    <x v="141"/>
    <x v="30"/>
    <x v="159"/>
    <x v="165"/>
    <s v="1507352354"/>
  </r>
  <r>
    <x v="169"/>
    <x v="169"/>
    <s v="PLBT"/>
    <s v="170"/>
    <s v="4.15939"/>
    <s v="0.00095027"/>
    <x v="169"/>
    <x v="169"/>
    <x v="165"/>
    <x v="142"/>
    <x v="103"/>
    <x v="160"/>
    <x v="166"/>
    <s v="1507352359"/>
  </r>
  <r>
    <x v="170"/>
    <x v="170"/>
    <s v="MYST"/>
    <s v="171"/>
    <s v="0.792449"/>
    <s v="0.00018105"/>
    <x v="170"/>
    <x v="170"/>
    <x v="166"/>
    <x v="143"/>
    <x v="93"/>
    <x v="161"/>
    <x v="167"/>
    <s v="1507352359"/>
  </r>
  <r>
    <x v="171"/>
    <x v="171"/>
    <s v="XPA"/>
    <s v="172"/>
    <s v="0.0153834"/>
    <s v="0.00000351"/>
    <x v="171"/>
    <x v="171"/>
    <x v="29"/>
    <x v="144"/>
    <x v="135"/>
    <x v="108"/>
    <x v="168"/>
    <s v="1507352363"/>
  </r>
  <r>
    <x v="172"/>
    <x v="172"/>
    <s v="ODN"/>
    <s v="173"/>
    <s v="0.627143"/>
    <s v="0.00014328"/>
    <x v="172"/>
    <x v="172"/>
    <x v="167"/>
    <x v="145"/>
    <x v="136"/>
    <x v="162"/>
    <x v="17"/>
    <s v="1507352363"/>
  </r>
  <r>
    <x v="173"/>
    <x v="173"/>
    <s v="VOISE"/>
    <s v="174"/>
    <s v="0.0237937"/>
    <s v="0.00000544"/>
    <x v="173"/>
    <x v="173"/>
    <x v="168"/>
    <x v="146"/>
    <x v="137"/>
    <x v="163"/>
    <x v="17"/>
    <s v="1507352363"/>
  </r>
  <r>
    <x v="174"/>
    <x v="174"/>
    <s v="LUN"/>
    <s v="175"/>
    <s v="6.60156"/>
    <s v="0.00150822"/>
    <x v="174"/>
    <x v="174"/>
    <x v="169"/>
    <x v="147"/>
    <x v="128"/>
    <x v="164"/>
    <x v="169"/>
    <s v="1507352357"/>
  </r>
  <r>
    <x v="175"/>
    <x v="175"/>
    <s v="ECN"/>
    <s v="176"/>
    <s v="3.62937"/>
    <s v="0.00082918"/>
    <x v="175"/>
    <x v="175"/>
    <x v="170"/>
    <x v="148"/>
    <x v="138"/>
    <x v="165"/>
    <x v="170"/>
    <s v="1507352357"/>
  </r>
  <r>
    <x v="176"/>
    <x v="176"/>
    <s v="OK"/>
    <s v="177"/>
    <s v="0.205727"/>
    <s v="0.00004700"/>
    <x v="176"/>
    <x v="176"/>
    <x v="171"/>
    <x v="149"/>
    <x v="89"/>
    <x v="166"/>
    <x v="171"/>
    <s v="1507352349"/>
  </r>
  <r>
    <x v="177"/>
    <x v="177"/>
    <s v="ZEN"/>
    <s v="178"/>
    <s v="6.72545"/>
    <s v="0.00153653"/>
    <x v="177"/>
    <x v="177"/>
    <x v="172"/>
    <x v="150"/>
    <x v="71"/>
    <x v="167"/>
    <x v="172"/>
    <s v="1507352357"/>
  </r>
  <r>
    <x v="178"/>
    <x v="178"/>
    <s v="OAX"/>
    <s v="179"/>
    <s v="0.597015"/>
    <s v="0.0001364"/>
    <x v="178"/>
    <x v="178"/>
    <x v="173"/>
    <x v="7"/>
    <x v="139"/>
    <x v="168"/>
    <x v="173"/>
    <s v="1507352361"/>
  </r>
  <r>
    <x v="179"/>
    <x v="179"/>
    <s v="SLS"/>
    <s v="180"/>
    <s v="14.5389"/>
    <s v="0.00332163"/>
    <x v="179"/>
    <x v="179"/>
    <x v="174"/>
    <x v="151"/>
    <x v="140"/>
    <x v="169"/>
    <x v="174"/>
    <s v="1507352354"/>
  </r>
  <r>
    <x v="180"/>
    <x v="180"/>
    <s v="EXP"/>
    <s v="181"/>
    <s v="1.82639"/>
    <s v="0.00041726"/>
    <x v="180"/>
    <x v="180"/>
    <x v="175"/>
    <x v="152"/>
    <x v="141"/>
    <x v="170"/>
    <x v="175"/>
    <s v="1507352347"/>
  </r>
  <r>
    <x v="181"/>
    <x v="181"/>
    <s v="BURST"/>
    <s v="182"/>
    <s v="0.00800362"/>
    <s v="0.00000183"/>
    <x v="181"/>
    <x v="181"/>
    <x v="176"/>
    <x v="153"/>
    <x v="142"/>
    <x v="171"/>
    <x v="176"/>
    <s v="1507352345"/>
  </r>
  <r>
    <x v="182"/>
    <x v="182"/>
    <s v="RADS"/>
    <s v="183"/>
    <s v="4.26472"/>
    <s v="0.00097434"/>
    <x v="182"/>
    <x v="182"/>
    <x v="177"/>
    <x v="154"/>
    <x v="77"/>
    <x v="172"/>
    <x v="177"/>
    <s v="1507352350"/>
  </r>
  <r>
    <x v="183"/>
    <x v="183"/>
    <s v="GUP"/>
    <s v="184"/>
    <s v="0.189579"/>
    <s v="0.00004331"/>
    <x v="183"/>
    <x v="183"/>
    <x v="137"/>
    <x v="155"/>
    <x v="94"/>
    <x v="173"/>
    <x v="178"/>
    <s v="1507352356"/>
  </r>
  <r>
    <x v="184"/>
    <x v="184"/>
    <s v="XDN"/>
    <s v="185"/>
    <s v="0.00204935"/>
    <s v="0.00000047"/>
    <x v="184"/>
    <x v="184"/>
    <x v="178"/>
    <x v="156"/>
    <x v="141"/>
    <x v="174"/>
    <x v="179"/>
    <s v="1507352344"/>
  </r>
  <r>
    <x v="185"/>
    <x v="185"/>
    <s v="LBC"/>
    <s v="186"/>
    <s v="0.204394"/>
    <s v="0.00004670"/>
    <x v="185"/>
    <x v="185"/>
    <x v="179"/>
    <x v="157"/>
    <x v="45"/>
    <x v="175"/>
    <x v="180"/>
    <s v="1507352350"/>
  </r>
  <r>
    <x v="186"/>
    <x v="186"/>
    <s v="SHIFT"/>
    <s v="187"/>
    <s v="1.23424"/>
    <s v="0.00028198"/>
    <x v="186"/>
    <x v="186"/>
    <x v="180"/>
    <x v="158"/>
    <x v="143"/>
    <x v="176"/>
    <x v="181"/>
    <s v="1507352347"/>
  </r>
  <r>
    <x v="187"/>
    <x v="187"/>
    <s v="IFT"/>
    <s v="188"/>
    <s v="0.0723458"/>
    <s v="0.00001653"/>
    <x v="187"/>
    <x v="187"/>
    <x v="181"/>
    <x v="159"/>
    <x v="144"/>
    <x v="177"/>
    <x v="182"/>
    <s v="1507352361"/>
  </r>
  <r>
    <x v="188"/>
    <x v="188"/>
    <s v="BLK"/>
    <s v="189"/>
    <s v="0.180814"/>
    <s v="0.00004131"/>
    <x v="188"/>
    <x v="188"/>
    <x v="182"/>
    <x v="160"/>
    <x v="2"/>
    <x v="178"/>
    <x v="183"/>
    <s v="1507352342"/>
  </r>
  <r>
    <x v="189"/>
    <x v="189"/>
    <s v="QAU"/>
    <s v="190"/>
    <s v="0.17142"/>
    <s v="0.00003916"/>
    <x v="189"/>
    <x v="189"/>
    <x v="183"/>
    <x v="161"/>
    <x v="145"/>
    <x v="179"/>
    <x v="184"/>
    <s v="1507352358"/>
  </r>
  <r>
    <x v="190"/>
    <x v="190"/>
    <s v="KORE"/>
    <s v="191"/>
    <s v="6.87455"/>
    <s v="0.00157059"/>
    <x v="190"/>
    <x v="190"/>
    <x v="184"/>
    <x v="162"/>
    <x v="85"/>
    <x v="180"/>
    <x v="185"/>
    <s v="1507352343"/>
  </r>
  <r>
    <x v="191"/>
    <x v="191"/>
    <s v="POT"/>
    <s v="192"/>
    <s v="0.0615722"/>
    <s v="0.00001407"/>
    <x v="191"/>
    <x v="191"/>
    <x v="185"/>
    <x v="163"/>
    <x v="58"/>
    <x v="181"/>
    <x v="186"/>
    <s v="1507352341"/>
  </r>
  <r>
    <x v="192"/>
    <x v="192"/>
    <s v="PLR"/>
    <s v="193"/>
    <s v="0.0577433"/>
    <s v="0.00001319"/>
    <x v="192"/>
    <x v="192"/>
    <x v="186"/>
    <x v="164"/>
    <x v="146"/>
    <x v="182"/>
    <x v="187"/>
    <s v="1507352360"/>
  </r>
  <r>
    <x v="193"/>
    <x v="193"/>
    <s v="TIME"/>
    <s v="194"/>
    <s v="18.4313"/>
    <s v="0.0042109"/>
    <x v="193"/>
    <x v="193"/>
    <x v="187"/>
    <x v="165"/>
    <x v="43"/>
    <x v="183"/>
    <x v="188"/>
    <s v="1507352356"/>
  </r>
  <r>
    <x v="194"/>
    <x v="194"/>
    <s v="AGRS"/>
    <s v="195"/>
    <s v="0.308188"/>
    <s v="0.00007041"/>
    <x v="194"/>
    <x v="194"/>
    <x v="188"/>
    <x v="166"/>
    <x v="43"/>
    <x v="184"/>
    <x v="189"/>
    <s v="1507352347"/>
  </r>
  <r>
    <x v="195"/>
    <x v="195"/>
    <s v="SWT"/>
    <s v="196"/>
    <s v="1.66772"/>
    <s v="0.00038102"/>
    <x v="195"/>
    <x v="195"/>
    <x v="189"/>
    <x v="167"/>
    <x v="147"/>
    <x v="185"/>
    <x v="190"/>
    <s v="1507352356"/>
  </r>
  <r>
    <x v="196"/>
    <x v="196"/>
    <s v="SMART"/>
    <s v="197"/>
    <s v="0.020762"/>
    <s v="0.00000474"/>
    <x v="196"/>
    <x v="196"/>
    <x v="190"/>
    <x v="168"/>
    <x v="148"/>
    <x v="151"/>
    <x v="191"/>
    <s v="1507352360"/>
  </r>
  <r>
    <x v="197"/>
    <x v="197"/>
    <s v="ENRG"/>
    <s v="198"/>
    <s v="0.103015"/>
    <s v="0.00002354"/>
    <x v="197"/>
    <x v="197"/>
    <x v="191"/>
    <x v="169"/>
    <x v="43"/>
    <x v="186"/>
    <x v="192"/>
    <s v="1507352343"/>
  </r>
  <r>
    <x v="198"/>
    <x v="198"/>
    <s v="AMP"/>
    <s v="199"/>
    <s v="0.151016"/>
    <s v="0.00003450"/>
    <x v="198"/>
    <x v="198"/>
    <x v="192"/>
    <x v="170"/>
    <x v="0"/>
    <x v="187"/>
    <x v="193"/>
    <s v="1507352348"/>
  </r>
  <r>
    <x v="199"/>
    <x v="199"/>
    <s v="BET"/>
    <s v="200"/>
    <s v="0.11235"/>
    <s v="0.00002567"/>
    <x v="199"/>
    <x v="199"/>
    <x v="193"/>
    <x v="171"/>
    <x v="149"/>
    <x v="188"/>
    <x v="194"/>
    <s v="1507352359"/>
  </r>
  <r>
    <x v="200"/>
    <x v="200"/>
    <s v="PIX"/>
    <s v="201"/>
    <s v="0.108774"/>
    <s v="0.00002485"/>
    <x v="200"/>
    <x v="200"/>
    <x v="194"/>
    <x v="172"/>
    <x v="150"/>
    <x v="189"/>
    <x v="195"/>
    <s v="1507352363"/>
  </r>
  <r>
    <x v="201"/>
    <x v="201"/>
    <s v="GOLOS"/>
    <s v="202"/>
    <s v="0.0987349"/>
    <s v="0.00002256"/>
    <x v="201"/>
    <x v="201"/>
    <x v="195"/>
    <x v="173"/>
    <x v="151"/>
    <x v="190"/>
    <x v="196"/>
    <s v="1507352353"/>
  </r>
  <r>
    <x v="202"/>
    <x v="202"/>
    <s v="OMNI"/>
    <s v="203"/>
    <s v="21.8687"/>
    <s v="0.00499623"/>
    <x v="202"/>
    <x v="202"/>
    <x v="196"/>
    <x v="174"/>
    <x v="152"/>
    <x v="191"/>
    <x v="197"/>
    <s v="1507352341"/>
  </r>
  <r>
    <x v="203"/>
    <x v="203"/>
    <s v="CSNO"/>
    <s v="204"/>
    <s v="0.174542"/>
    <s v="0.00003988"/>
    <x v="203"/>
    <x v="203"/>
    <x v="139"/>
    <x v="7"/>
    <x v="153"/>
    <x v="192"/>
    <x v="198"/>
    <s v="1507352364"/>
  </r>
  <r>
    <x v="204"/>
    <x v="204"/>
    <s v="GRC"/>
    <s v="205"/>
    <s v="0.0311854"/>
    <s v="0.00000712"/>
    <x v="204"/>
    <x v="204"/>
    <x v="197"/>
    <x v="175"/>
    <x v="154"/>
    <x v="193"/>
    <x v="199"/>
    <s v="1507352346"/>
  </r>
  <r>
    <x v="205"/>
    <x v="205"/>
    <s v="SOAR"/>
    <s v="206"/>
    <s v="0.0157574"/>
    <s v="0.00000360"/>
    <x v="205"/>
    <x v="205"/>
    <x v="198"/>
    <x v="176"/>
    <x v="155"/>
    <x v="194"/>
    <x v="200"/>
    <s v="1507352355"/>
  </r>
  <r>
    <x v="206"/>
    <x v="206"/>
    <s v="PST"/>
    <s v="207"/>
    <s v="0.234033"/>
    <s v="0.00005347"/>
    <x v="206"/>
    <x v="206"/>
    <x v="199"/>
    <x v="7"/>
    <x v="156"/>
    <x v="24"/>
    <x v="201"/>
    <s v="1507352362"/>
  </r>
  <r>
    <x v="207"/>
    <x v="207"/>
    <s v="GAM"/>
    <s v="208"/>
    <s v="9.70356"/>
    <s v="0.00221692"/>
    <x v="207"/>
    <x v="207"/>
    <x v="200"/>
    <x v="177"/>
    <x v="157"/>
    <x v="195"/>
    <x v="202"/>
    <s v="1507352348"/>
  </r>
  <r>
    <x v="208"/>
    <x v="208"/>
    <s v="WCT"/>
    <s v="209"/>
    <s v="1.1365"/>
    <s v="0.00025965"/>
    <x v="208"/>
    <x v="208"/>
    <x v="201"/>
    <x v="45"/>
    <x v="30"/>
    <x v="196"/>
    <x v="203"/>
    <s v="1507352355"/>
  </r>
  <r>
    <x v="209"/>
    <x v="209"/>
    <s v="PGL"/>
    <s v="210"/>
    <s v="0.175082"/>
    <s v="0.00004000"/>
    <x v="209"/>
    <x v="209"/>
    <x v="202"/>
    <x v="178"/>
    <x v="158"/>
    <x v="108"/>
    <x v="17"/>
    <s v="1507352363"/>
  </r>
  <r>
    <x v="210"/>
    <x v="210"/>
    <s v="NET"/>
    <s v="211"/>
    <s v="1.06121"/>
    <s v="0.00024245"/>
    <x v="210"/>
    <x v="210"/>
    <x v="203"/>
    <x v="179"/>
    <x v="159"/>
    <x v="197"/>
    <x v="204"/>
    <s v="1507352360"/>
  </r>
  <r>
    <x v="211"/>
    <x v="211"/>
    <s v="DTB"/>
    <s v="212"/>
    <s v="0.481475"/>
    <s v="0.00011"/>
    <x v="211"/>
    <x v="211"/>
    <x v="204"/>
    <x v="180"/>
    <x v="43"/>
    <x v="198"/>
    <x v="205"/>
    <s v="1507352356"/>
  </r>
  <r>
    <x v="212"/>
    <x v="212"/>
    <s v="PPY"/>
    <s v="213"/>
    <s v="2.8434"/>
    <s v="0.00064962"/>
    <x v="212"/>
    <x v="212"/>
    <x v="205"/>
    <x v="181"/>
    <x v="160"/>
    <x v="199"/>
    <x v="206"/>
    <s v="1507352358"/>
  </r>
  <r>
    <x v="213"/>
    <x v="213"/>
    <s v="MOON"/>
    <s v="214"/>
    <s v="0.0000471512"/>
    <s v="0.00000001"/>
    <x v="213"/>
    <x v="213"/>
    <x v="206"/>
    <x v="182"/>
    <x v="161"/>
    <x v="200"/>
    <x v="207"/>
    <s v="1507352341"/>
  </r>
  <r>
    <x v="214"/>
    <x v="214"/>
    <s v="LMC"/>
    <s v="215"/>
    <s v="0.0470931"/>
    <s v="0.00001076"/>
    <x v="214"/>
    <x v="214"/>
    <x v="207"/>
    <x v="183"/>
    <x v="162"/>
    <x v="201"/>
    <x v="208"/>
    <s v="1507352351"/>
  </r>
  <r>
    <x v="215"/>
    <x v="215"/>
    <s v="BCAP"/>
    <s v="216"/>
    <s v="0.984848"/>
    <s v="0.000225"/>
    <x v="215"/>
    <x v="215"/>
    <x v="208"/>
    <x v="45"/>
    <x v="163"/>
    <x v="202"/>
    <x v="209"/>
    <s v="1507352357"/>
  </r>
  <r>
    <x v="216"/>
    <x v="216"/>
    <s v="WGR"/>
    <s v="217"/>
    <s v="0.0529239"/>
    <s v="0.00001209"/>
    <x v="216"/>
    <x v="216"/>
    <x v="209"/>
    <x v="184"/>
    <x v="164"/>
    <x v="203"/>
    <x v="210"/>
    <s v="1507352359"/>
  </r>
  <r>
    <x v="217"/>
    <x v="217"/>
    <s v="XRB"/>
    <s v="218"/>
    <s v="0.0786258"/>
    <s v="0.00001796"/>
    <x v="217"/>
    <x v="217"/>
    <x v="210"/>
    <x v="185"/>
    <x v="165"/>
    <x v="204"/>
    <x v="211"/>
    <s v="1507352355"/>
  </r>
  <r>
    <x v="218"/>
    <x v="218"/>
    <s v="VIBE"/>
    <s v="219"/>
    <s v="0.0575796"/>
    <s v="0.00001315"/>
    <x v="218"/>
    <x v="218"/>
    <x v="211"/>
    <x v="186"/>
    <x v="166"/>
    <x v="205"/>
    <x v="212"/>
    <s v="1507352363"/>
  </r>
  <r>
    <x v="219"/>
    <x v="219"/>
    <s v="FLO"/>
    <s v="220"/>
    <s v="0.0678056"/>
    <s v="0.00001549"/>
    <x v="219"/>
    <x v="219"/>
    <x v="212"/>
    <x v="187"/>
    <x v="152"/>
    <x v="206"/>
    <x v="213"/>
    <s v="1507352345"/>
  </r>
  <r>
    <x v="220"/>
    <x v="220"/>
    <s v="XC"/>
    <s v="221"/>
    <s v="1.58042"/>
    <s v="0.00036107"/>
    <x v="220"/>
    <x v="220"/>
    <x v="213"/>
    <x v="188"/>
    <x v="140"/>
    <x v="207"/>
    <x v="214"/>
    <s v="1507352343"/>
  </r>
  <r>
    <x v="221"/>
    <x v="221"/>
    <s v="TOA"/>
    <s v="222"/>
    <s v="0.00534232"/>
    <s v="0.00000122"/>
    <x v="221"/>
    <x v="221"/>
    <x v="214"/>
    <x v="189"/>
    <x v="167"/>
    <x v="208"/>
    <x v="215"/>
    <s v="1507352360"/>
  </r>
  <r>
    <x v="222"/>
    <x v="222"/>
    <s v="OBITS"/>
    <s v="223"/>
    <s v="0.569147"/>
    <s v="0.00013003"/>
    <x v="222"/>
    <x v="222"/>
    <x v="215"/>
    <x v="190"/>
    <x v="168"/>
    <x v="209"/>
    <x v="216"/>
    <s v="1507352348"/>
  </r>
  <r>
    <x v="223"/>
    <x v="223"/>
    <s v="PLU"/>
    <s v="224"/>
    <s v="10.5148"/>
    <s v="0.00240227"/>
    <x v="223"/>
    <x v="223"/>
    <x v="216"/>
    <x v="191"/>
    <x v="12"/>
    <x v="210"/>
    <x v="217"/>
    <s v="1507352354"/>
  </r>
  <r>
    <x v="224"/>
    <x v="224"/>
    <s v="XSPEC"/>
    <s v="225"/>
    <s v="0.431069"/>
    <s v="0.00009848"/>
    <x v="224"/>
    <x v="224"/>
    <x v="217"/>
    <x v="192"/>
    <x v="117"/>
    <x v="211"/>
    <x v="218"/>
    <s v="1507352354"/>
  </r>
  <r>
    <x v="225"/>
    <x v="225"/>
    <s v="ATCC"/>
    <s v="226"/>
    <s v="0.831805"/>
    <s v="0.00019004"/>
    <x v="225"/>
    <x v="225"/>
    <x v="218"/>
    <x v="193"/>
    <x v="169"/>
    <x v="212"/>
    <x v="219"/>
    <s v="1507352359"/>
  </r>
  <r>
    <x v="226"/>
    <x v="226"/>
    <s v="VRC"/>
    <s v="227"/>
    <s v="0.286487"/>
    <s v="0.00006545"/>
    <x v="226"/>
    <x v="226"/>
    <x v="219"/>
    <x v="194"/>
    <x v="57"/>
    <x v="213"/>
    <x v="220"/>
    <s v="1507352344"/>
  </r>
  <r>
    <x v="227"/>
    <x v="227"/>
    <s v="IXT"/>
    <s v="228"/>
    <s v="0.2357"/>
    <s v="0.00005385"/>
    <x v="227"/>
    <x v="227"/>
    <x v="220"/>
    <x v="195"/>
    <x v="170"/>
    <x v="214"/>
    <x v="221"/>
    <s v="1507352360"/>
  </r>
  <r>
    <x v="228"/>
    <x v="228"/>
    <s v="VOX"/>
    <s v="229"/>
    <s v="0.0400668"/>
    <s v="0.00000915"/>
    <x v="228"/>
    <x v="228"/>
    <x v="221"/>
    <x v="196"/>
    <x v="6"/>
    <x v="215"/>
    <x v="222"/>
    <s v="1507352350"/>
  </r>
  <r>
    <x v="229"/>
    <x v="229"/>
    <s v="EDR"/>
    <s v="230"/>
    <s v="0.00941297"/>
    <s v="0.00000215"/>
    <x v="229"/>
    <x v="229"/>
    <x v="222"/>
    <x v="197"/>
    <x v="24"/>
    <x v="216"/>
    <x v="223"/>
    <s v="1507352354"/>
  </r>
  <r>
    <x v="230"/>
    <x v="230"/>
    <s v="NEOS"/>
    <s v="231"/>
    <s v="2.36278"/>
    <s v="0.00053981"/>
    <x v="230"/>
    <x v="230"/>
    <x v="223"/>
    <x v="198"/>
    <x v="14"/>
    <x v="217"/>
    <x v="224"/>
    <s v="1507352345"/>
  </r>
  <r>
    <x v="231"/>
    <x v="231"/>
    <s v="MUSIC"/>
    <s v="232"/>
    <s v="0.0224046"/>
    <s v="0.00000512"/>
    <x v="231"/>
    <x v="231"/>
    <x v="224"/>
    <x v="199"/>
    <x v="24"/>
    <x v="218"/>
    <x v="225"/>
    <s v="1507352355"/>
  </r>
  <r>
    <x v="232"/>
    <x v="232"/>
    <s v="PINK"/>
    <s v="233"/>
    <s v="0.022547"/>
    <s v="0.00000515"/>
    <x v="232"/>
    <x v="232"/>
    <x v="225"/>
    <x v="200"/>
    <x v="24"/>
    <x v="219"/>
    <x v="226"/>
    <s v="1507352343"/>
  </r>
  <r>
    <x v="233"/>
    <x v="233"/>
    <s v="PEPECASH"/>
    <s v="234"/>
    <s v="0.0115554"/>
    <s v="0.00000264"/>
    <x v="233"/>
    <x v="233"/>
    <x v="226"/>
    <x v="201"/>
    <x v="171"/>
    <x v="15"/>
    <x v="227"/>
    <s v="1507352355"/>
  </r>
  <r>
    <x v="234"/>
    <x v="234"/>
    <s v="ECOB"/>
    <s v="235"/>
    <s v="0.0178112"/>
    <s v="0.00000407"/>
    <x v="234"/>
    <x v="234"/>
    <x v="227"/>
    <x v="202"/>
    <x v="6"/>
    <x v="220"/>
    <x v="228"/>
    <s v="1507352359"/>
  </r>
  <r>
    <x v="235"/>
    <x v="235"/>
    <s v="EBTC"/>
    <s v="236"/>
    <s v="0.384279"/>
    <s v="0.00008779"/>
    <x v="235"/>
    <x v="235"/>
    <x v="228"/>
    <x v="203"/>
    <x v="172"/>
    <x v="221"/>
    <x v="17"/>
    <s v="1507352364"/>
  </r>
  <r>
    <x v="236"/>
    <x v="236"/>
    <s v="XBY"/>
    <s v="237"/>
    <s v="0.0179011"/>
    <s v="0.00000409"/>
    <x v="236"/>
    <x v="236"/>
    <x v="229"/>
    <x v="204"/>
    <x v="173"/>
    <x v="222"/>
    <x v="229"/>
    <s v="1507352356"/>
  </r>
  <r>
    <x v="237"/>
    <x v="237"/>
    <s v="NVST"/>
    <s v="238"/>
    <s v="0.505917"/>
    <s v="0.00011558"/>
    <x v="237"/>
    <x v="237"/>
    <x v="230"/>
    <x v="205"/>
    <x v="174"/>
    <x v="223"/>
    <x v="230"/>
    <s v="1507352360"/>
  </r>
  <r>
    <x v="238"/>
    <x v="238"/>
    <s v="SPHR"/>
    <s v="239"/>
    <s v="2.43482"/>
    <s v="0.00055627"/>
    <x v="238"/>
    <x v="238"/>
    <x v="231"/>
    <x v="206"/>
    <x v="6"/>
    <x v="224"/>
    <x v="231"/>
    <s v="1507352346"/>
  </r>
  <r>
    <x v="239"/>
    <x v="239"/>
    <s v="GRS"/>
    <s v="240"/>
    <s v="0.109276"/>
    <s v="0.00002497"/>
    <x v="239"/>
    <x v="239"/>
    <x v="232"/>
    <x v="207"/>
    <x v="175"/>
    <x v="225"/>
    <x v="232"/>
    <s v="1507352343"/>
  </r>
  <r>
    <x v="240"/>
    <x v="240"/>
    <s v="SLR"/>
    <s v="241"/>
    <s v="0.203141"/>
    <s v="0.00004641"/>
    <x v="240"/>
    <x v="240"/>
    <x v="233"/>
    <x v="208"/>
    <x v="176"/>
    <x v="226"/>
    <x v="233"/>
    <s v="1507352343"/>
  </r>
  <r>
    <x v="241"/>
    <x v="241"/>
    <s v="PZM"/>
    <s v="242"/>
    <s v="0.830576"/>
    <s v="0.00018976"/>
    <x v="241"/>
    <x v="241"/>
    <x v="234"/>
    <x v="209"/>
    <x v="140"/>
    <x v="227"/>
    <x v="234"/>
    <s v="1507352357"/>
  </r>
  <r>
    <x v="242"/>
    <x v="242"/>
    <s v="INCNT"/>
    <s v="243"/>
    <s v="0.159272"/>
    <s v="0.00003639"/>
    <x v="242"/>
    <x v="242"/>
    <x v="235"/>
    <x v="210"/>
    <x v="93"/>
    <x v="228"/>
    <x v="235"/>
    <s v="1507352355"/>
  </r>
  <r>
    <x v="243"/>
    <x v="243"/>
    <s v="IOP"/>
    <s v="244"/>
    <s v="4.00487"/>
    <s v="0.00091497"/>
    <x v="243"/>
    <x v="243"/>
    <x v="236"/>
    <x v="211"/>
    <x v="177"/>
    <x v="229"/>
    <x v="236"/>
    <s v="1507352353"/>
  </r>
  <r>
    <x v="244"/>
    <x v="244"/>
    <s v="BITCNY"/>
    <s v="245"/>
    <s v="0.146941"/>
    <s v="0.00003357"/>
    <x v="244"/>
    <x v="244"/>
    <x v="237"/>
    <x v="212"/>
    <x v="123"/>
    <x v="230"/>
    <x v="237"/>
    <s v="1507352344"/>
  </r>
  <r>
    <x v="245"/>
    <x v="245"/>
    <s v="CAT"/>
    <s v="246"/>
    <s v="0.973761"/>
    <s v="0.00022247"/>
    <x v="245"/>
    <x v="245"/>
    <x v="238"/>
    <x v="213"/>
    <x v="178"/>
    <x v="231"/>
    <x v="238"/>
    <s v="1507352361"/>
  </r>
  <r>
    <x v="246"/>
    <x v="246"/>
    <s v="BSD"/>
    <s v="247"/>
    <s v="0.42819"/>
    <s v="0.00009783"/>
    <x v="246"/>
    <x v="246"/>
    <x v="239"/>
    <x v="214"/>
    <x v="12"/>
    <x v="232"/>
    <x v="239"/>
    <s v="1507352344"/>
  </r>
  <r>
    <x v="247"/>
    <x v="247"/>
    <s v="SPRTS"/>
    <s v="248"/>
    <s v="0.0000102957"/>
    <s v="0.000000002"/>
    <x v="247"/>
    <x v="247"/>
    <x v="240"/>
    <x v="215"/>
    <x v="179"/>
    <x v="233"/>
    <x v="240"/>
    <s v="1507352346"/>
  </r>
  <r>
    <x v="248"/>
    <x v="248"/>
    <s v="HVN"/>
    <s v="249"/>
    <s v="0.0189501"/>
    <s v="0.00000433"/>
    <x v="248"/>
    <x v="248"/>
    <x v="241"/>
    <x v="83"/>
    <x v="180"/>
    <x v="234"/>
    <x v="241"/>
    <s v="1507352362"/>
  </r>
  <r>
    <x v="249"/>
    <x v="249"/>
    <s v="NVC"/>
    <s v="250"/>
    <s v="3.81509"/>
    <s v="0.00087161"/>
    <x v="249"/>
    <x v="249"/>
    <x v="242"/>
    <x v="216"/>
    <x v="50"/>
    <x v="235"/>
    <x v="242"/>
    <s v="1507352341"/>
  </r>
  <r>
    <x v="250"/>
    <x v="250"/>
    <s v="FTC"/>
    <s v="251"/>
    <s v="0.0399153"/>
    <s v="0.00000912"/>
    <x v="250"/>
    <x v="250"/>
    <x v="243"/>
    <x v="217"/>
    <x v="181"/>
    <x v="236"/>
    <x v="243"/>
    <s v="1507352340"/>
  </r>
  <r>
    <x v="251"/>
    <x v="251"/>
    <s v="TIX"/>
    <s v="252"/>
    <s v="0.166944"/>
    <s v="0.00003814"/>
    <x v="251"/>
    <x v="251"/>
    <x v="244"/>
    <x v="218"/>
    <x v="182"/>
    <x v="237"/>
    <x v="244"/>
    <s v="1507352361"/>
  </r>
  <r>
    <x v="252"/>
    <x v="252"/>
    <s v="ETHD"/>
    <s v="253"/>
    <s v="4.38213"/>
    <s v="0.00100116"/>
    <x v="252"/>
    <x v="252"/>
    <x v="245"/>
    <x v="219"/>
    <x v="21"/>
    <x v="238"/>
    <x v="245"/>
    <s v="1507352363"/>
  </r>
  <r>
    <x v="253"/>
    <x v="253"/>
    <s v="PRO"/>
    <s v="254"/>
    <s v="0.465174"/>
    <s v="0.00010628"/>
    <x v="253"/>
    <x v="253"/>
    <x v="246"/>
    <x v="7"/>
    <x v="183"/>
    <x v="239"/>
    <x v="246"/>
    <s v="1507352363"/>
  </r>
  <r>
    <x v="254"/>
    <x v="254"/>
    <s v="POSW"/>
    <s v="255"/>
    <s v="0.145365"/>
    <s v="0.00003321"/>
    <x v="254"/>
    <x v="254"/>
    <x v="247"/>
    <x v="32"/>
    <x v="184"/>
    <x v="240"/>
    <x v="247"/>
    <s v="1507352353"/>
  </r>
  <r>
    <x v="255"/>
    <x v="255"/>
    <s v="GCC"/>
    <s v="256"/>
    <s v="0.0128685"/>
    <s v="0.00000294"/>
    <x v="255"/>
    <x v="255"/>
    <x v="248"/>
    <x v="220"/>
    <x v="73"/>
    <x v="241"/>
    <x v="248"/>
    <s v="1507352355"/>
  </r>
  <r>
    <x v="256"/>
    <x v="256"/>
    <s v="XWC"/>
    <s v="257"/>
    <s v="0.0253431"/>
    <s v="0.00000579"/>
    <x v="256"/>
    <x v="256"/>
    <x v="249"/>
    <x v="221"/>
    <x v="185"/>
    <x v="242"/>
    <x v="249"/>
    <s v="1507352343"/>
  </r>
  <r>
    <x v="257"/>
    <x v="257"/>
    <s v="DBIX"/>
    <s v="258"/>
    <s v="4.94963"/>
    <s v="0.00113081"/>
    <x v="257"/>
    <x v="257"/>
    <x v="250"/>
    <x v="222"/>
    <x v="186"/>
    <x v="243"/>
    <x v="250"/>
    <s v="1507352356"/>
  </r>
  <r>
    <x v="258"/>
    <x v="258"/>
    <s v="BITB"/>
    <s v="259"/>
    <s v="0.00288198"/>
    <s v="0.00000066"/>
    <x v="258"/>
    <x v="258"/>
    <x v="251"/>
    <x v="223"/>
    <x v="187"/>
    <x v="60"/>
    <x v="251"/>
    <s v="1507352348"/>
  </r>
  <r>
    <x v="259"/>
    <x v="259"/>
    <s v="NTRN"/>
    <s v="260"/>
    <s v="0.197139"/>
    <s v="0.00004504"/>
    <x v="259"/>
    <x v="259"/>
    <x v="252"/>
    <x v="224"/>
    <x v="188"/>
    <x v="244"/>
    <x v="252"/>
    <s v="1507352345"/>
  </r>
  <r>
    <x v="260"/>
    <x v="260"/>
    <s v="HEAT"/>
    <s v="261"/>
    <s v="0.209864"/>
    <s v="0.00004795"/>
    <x v="260"/>
    <x v="260"/>
    <x v="253"/>
    <x v="225"/>
    <x v="102"/>
    <x v="245"/>
    <x v="11"/>
    <s v="1507352350"/>
  </r>
  <r>
    <x v="261"/>
    <x v="261"/>
    <s v="BTX"/>
    <s v="262"/>
    <s v="5.9259"/>
    <s v="0.00135386"/>
    <x v="261"/>
    <x v="261"/>
    <x v="254"/>
    <x v="226"/>
    <x v="189"/>
    <x v="246"/>
    <x v="253"/>
    <s v="1507352357"/>
  </r>
  <r>
    <x v="262"/>
    <x v="262"/>
    <s v="DENT"/>
    <s v="263"/>
    <s v="0.000566528"/>
    <s v="0.00000013"/>
    <x v="262"/>
    <x v="262"/>
    <x v="255"/>
    <x v="36"/>
    <x v="163"/>
    <x v="247"/>
    <x v="254"/>
    <s v="1507352361"/>
  </r>
  <r>
    <x v="263"/>
    <x v="263"/>
    <s v="NOTE"/>
    <s v="264"/>
    <s v="0.0468067"/>
    <s v="0.00001069"/>
    <x v="263"/>
    <x v="263"/>
    <x v="256"/>
    <x v="227"/>
    <x v="115"/>
    <x v="248"/>
    <x v="255"/>
    <s v="1507352342"/>
  </r>
  <r>
    <x v="264"/>
    <x v="264"/>
    <s v="CRB"/>
    <s v="265"/>
    <s v="0.502952"/>
    <s v="0.00011491"/>
    <x v="264"/>
    <x v="264"/>
    <x v="257"/>
    <x v="228"/>
    <x v="190"/>
    <x v="249"/>
    <x v="256"/>
    <s v="1507352348"/>
  </r>
  <r>
    <x v="265"/>
    <x v="265"/>
    <s v="CADASTRAL"/>
    <s v="266"/>
    <s v="0.197326"/>
    <s v="0.00004508"/>
    <x v="265"/>
    <x v="265"/>
    <x v="258"/>
    <x v="229"/>
    <x v="70"/>
    <x v="171"/>
    <x v="257"/>
    <s v="1507352350"/>
  </r>
  <r>
    <x v="266"/>
    <x v="266"/>
    <s v="BCY"/>
    <s v="267"/>
    <s v="0.254163"/>
    <s v="0.00005807"/>
    <x v="266"/>
    <x v="266"/>
    <x v="259"/>
    <x v="230"/>
    <x v="191"/>
    <x v="250"/>
    <x v="258"/>
    <s v="1507352347"/>
  </r>
  <r>
    <x v="267"/>
    <x v="267"/>
    <s v="PDC"/>
    <s v="268"/>
    <s v="0.116998"/>
    <s v="0.00002673"/>
    <x v="267"/>
    <x v="267"/>
    <x v="7"/>
    <x v="231"/>
    <x v="18"/>
    <x v="251"/>
    <x v="259"/>
    <s v="1507352350"/>
  </r>
  <r>
    <x v="268"/>
    <x v="268"/>
    <s v="ABY"/>
    <s v="269"/>
    <s v="0.00730974"/>
    <s v="0.00000167"/>
    <x v="268"/>
    <x v="268"/>
    <x v="260"/>
    <x v="232"/>
    <x v="192"/>
    <x v="231"/>
    <x v="260"/>
    <s v="1507352344"/>
  </r>
  <r>
    <x v="269"/>
    <x v="269"/>
    <s v="AUR"/>
    <s v="270"/>
    <s v="0.667578"/>
    <s v="0.00015252"/>
    <x v="269"/>
    <x v="269"/>
    <x v="261"/>
    <x v="233"/>
    <x v="162"/>
    <x v="252"/>
    <x v="261"/>
    <s v="1507352342"/>
  </r>
  <r>
    <x v="270"/>
    <x v="270"/>
    <s v="FLDC"/>
    <s v="271"/>
    <s v="0.0109864"/>
    <s v="0.00000251"/>
    <x v="270"/>
    <x v="270"/>
    <x v="262"/>
    <x v="25"/>
    <x v="57"/>
    <x v="253"/>
    <x v="262"/>
    <s v="1507352346"/>
  </r>
  <r>
    <x v="271"/>
    <x v="271"/>
    <s v="XTO"/>
    <s v="272"/>
    <s v="0.187695"/>
    <s v="0.00004288"/>
    <x v="271"/>
    <x v="271"/>
    <x v="263"/>
    <x v="234"/>
    <x v="18"/>
    <x v="254"/>
    <x v="263"/>
    <s v="1507352352"/>
  </r>
  <r>
    <x v="272"/>
    <x v="272"/>
    <s v="QWARK"/>
    <s v="273"/>
    <s v="0.150789"/>
    <s v="0.00003445"/>
    <x v="272"/>
    <x v="272"/>
    <x v="264"/>
    <x v="235"/>
    <x v="193"/>
    <x v="255"/>
    <x v="264"/>
    <s v="1507352351"/>
  </r>
  <r>
    <x v="273"/>
    <x v="273"/>
    <s v="ETT"/>
    <s v="274"/>
    <s v="0.0892813"/>
    <s v="0.00002040"/>
    <x v="273"/>
    <x v="273"/>
    <x v="265"/>
    <x v="236"/>
    <x v="18"/>
    <x v="256"/>
    <x v="265"/>
    <s v="1507352358"/>
  </r>
  <r>
    <x v="274"/>
    <x v="274"/>
    <s v="UNY"/>
    <s v="275"/>
    <s v="0.0272368"/>
    <s v="0.00000622"/>
    <x v="274"/>
    <x v="274"/>
    <x v="266"/>
    <x v="144"/>
    <x v="194"/>
    <x v="257"/>
    <x v="266"/>
    <s v="1507352357"/>
  </r>
  <r>
    <x v="275"/>
    <x v="275"/>
    <s v="ECC"/>
    <s v="276"/>
    <s v="0.000218852"/>
    <s v="0.00000005"/>
    <x v="275"/>
    <x v="275"/>
    <x v="267"/>
    <x v="237"/>
    <x v="18"/>
    <x v="258"/>
    <x v="267"/>
    <s v="1507352342"/>
  </r>
  <r>
    <x v="276"/>
    <x v="276"/>
    <s v="EQT"/>
    <s v="277"/>
    <s v="0.573413"/>
    <s v="0.000131"/>
    <x v="276"/>
    <x v="276"/>
    <x v="268"/>
    <x v="238"/>
    <x v="195"/>
    <x v="259"/>
    <x v="268"/>
    <s v="1507352357"/>
  </r>
  <r>
    <x v="277"/>
    <x v="277"/>
    <s v="HTML5"/>
    <s v="278"/>
    <s v="0.000132656"/>
    <s v="0.00000003"/>
    <x v="277"/>
    <x v="277"/>
    <x v="269"/>
    <x v="239"/>
    <x v="196"/>
    <x v="260"/>
    <x v="269"/>
    <s v="1507352345"/>
  </r>
  <r>
    <x v="278"/>
    <x v="278"/>
    <s v="COSS"/>
    <s v="279"/>
    <s v="0.235521"/>
    <s v="0.00005381"/>
    <x v="278"/>
    <x v="278"/>
    <x v="270"/>
    <x v="240"/>
    <x v="197"/>
    <x v="261"/>
    <x v="270"/>
    <s v="1507352363"/>
  </r>
  <r>
    <x v="279"/>
    <x v="279"/>
    <s v="CURE"/>
    <s v="280"/>
    <s v="0.223868"/>
    <s v="0.00005115"/>
    <x v="279"/>
    <x v="279"/>
    <x v="271"/>
    <x v="241"/>
    <x v="135"/>
    <x v="262"/>
    <x v="271"/>
    <s v="1507352344"/>
  </r>
  <r>
    <x v="280"/>
    <x v="280"/>
    <s v="XBC"/>
    <s v="281"/>
    <s v="51.5729"/>
    <s v="0.0117826"/>
    <x v="280"/>
    <x v="280"/>
    <x v="272"/>
    <x v="242"/>
    <x v="198"/>
    <x v="263"/>
    <x v="272"/>
    <s v="1507352343"/>
  </r>
  <r>
    <x v="281"/>
    <x v="281"/>
    <s v="MYB"/>
    <s v="282"/>
    <s v="2.06682"/>
    <s v="0.00047219"/>
    <x v="281"/>
    <x v="281"/>
    <x v="273"/>
    <x v="243"/>
    <x v="42"/>
    <x v="264"/>
    <x v="85"/>
    <s v="1507352361"/>
  </r>
  <r>
    <x v="282"/>
    <x v="282"/>
    <s v="XVC"/>
    <s v="283"/>
    <s v="0.339779"/>
    <s v="0.00007763"/>
    <x v="282"/>
    <x v="282"/>
    <x v="274"/>
    <x v="244"/>
    <x v="159"/>
    <x v="265"/>
    <x v="273"/>
    <s v="1507352348"/>
  </r>
  <r>
    <x v="283"/>
    <x v="283"/>
    <s v="CVCOIN"/>
    <s v="284"/>
    <s v="0.632801"/>
    <s v="0.00014457"/>
    <x v="283"/>
    <x v="283"/>
    <x v="275"/>
    <x v="205"/>
    <x v="52"/>
    <x v="266"/>
    <x v="274"/>
    <s v="1507352360"/>
  </r>
  <r>
    <x v="284"/>
    <x v="284"/>
    <s v="GCR"/>
    <s v="285"/>
    <s v="0.0498983"/>
    <s v="0.00001140"/>
    <x v="284"/>
    <x v="284"/>
    <x v="276"/>
    <x v="245"/>
    <x v="18"/>
    <x v="267"/>
    <x v="275"/>
    <s v="1507352347"/>
  </r>
  <r>
    <x v="285"/>
    <x v="285"/>
    <s v="EXCL"/>
    <s v="286"/>
    <s v="1.20653"/>
    <s v="0.00027565"/>
    <x v="285"/>
    <x v="285"/>
    <x v="277"/>
    <x v="246"/>
    <x v="199"/>
    <x v="268"/>
    <x v="276"/>
    <s v="1507352347"/>
  </r>
  <r>
    <x v="286"/>
    <x v="286"/>
    <s v="BELA"/>
    <s v="287"/>
    <s v="0.13546"/>
    <s v="0.00003095"/>
    <x v="286"/>
    <x v="286"/>
    <x v="278"/>
    <x v="247"/>
    <x v="200"/>
    <x v="177"/>
    <x v="277"/>
    <s v="1507352343"/>
  </r>
  <r>
    <x v="287"/>
    <x v="287"/>
    <s v="EMB"/>
    <s v="288"/>
    <s v="0.0000849393"/>
    <s v="0.00000002"/>
    <x v="287"/>
    <x v="287"/>
    <x v="279"/>
    <x v="248"/>
    <x v="201"/>
    <x v="269"/>
    <x v="278"/>
    <s v="1507352360"/>
  </r>
  <r>
    <x v="288"/>
    <x v="288"/>
    <s v="PTC"/>
    <s v="289"/>
    <s v="0.0382989"/>
    <s v="0.00000875"/>
    <x v="288"/>
    <x v="288"/>
    <x v="280"/>
    <x v="249"/>
    <x v="18"/>
    <x v="270"/>
    <x v="279"/>
    <s v="1507352342"/>
  </r>
  <r>
    <x v="289"/>
    <x v="289"/>
    <s v="TRC"/>
    <s v="290"/>
    <s v="0.231971"/>
    <s v="0.00005300"/>
    <x v="289"/>
    <x v="289"/>
    <x v="281"/>
    <x v="250"/>
    <x v="202"/>
    <x v="271"/>
    <x v="280"/>
    <s v="1507352341"/>
  </r>
  <r>
    <x v="290"/>
    <x v="290"/>
    <s v="ERC"/>
    <s v="291"/>
    <s v="0.492418"/>
    <s v="0.0001125"/>
    <x v="290"/>
    <x v="290"/>
    <x v="282"/>
    <x v="251"/>
    <x v="203"/>
    <x v="272"/>
    <x v="281"/>
    <s v="1507352347"/>
  </r>
  <r>
    <x v="291"/>
    <x v="291"/>
    <s v="XST"/>
    <s v="292"/>
    <s v="0.179418"/>
    <s v="0.00004099"/>
    <x v="291"/>
    <x v="291"/>
    <x v="283"/>
    <x v="252"/>
    <x v="93"/>
    <x v="273"/>
    <x v="282"/>
    <s v="1507352343"/>
  </r>
  <r>
    <x v="292"/>
    <x v="292"/>
    <s v="BLITZ"/>
    <s v="293"/>
    <s v="1.18268"/>
    <s v="0.0002702"/>
    <x v="292"/>
    <x v="292"/>
    <x v="284"/>
    <x v="253"/>
    <x v="204"/>
    <x v="274"/>
    <x v="283"/>
    <s v="1507352345"/>
  </r>
  <r>
    <x v="293"/>
    <x v="293"/>
    <s v="GLD"/>
    <s v="294"/>
    <s v="0.118707"/>
    <s v="0.00002712"/>
    <x v="293"/>
    <x v="293"/>
    <x v="285"/>
    <x v="254"/>
    <x v="205"/>
    <x v="275"/>
    <x v="154"/>
    <s v="1507352340"/>
  </r>
  <r>
    <x v="294"/>
    <x v="294"/>
    <s v="OPT"/>
    <s v="295"/>
    <s v="0.034168"/>
    <s v="0.00000781"/>
    <x v="294"/>
    <x v="294"/>
    <x v="286"/>
    <x v="255"/>
    <x v="206"/>
    <x v="276"/>
    <x v="284"/>
    <s v="1507352362"/>
  </r>
  <r>
    <x v="295"/>
    <x v="295"/>
    <s v="APX"/>
    <s v="296"/>
    <s v="6.70971"/>
    <s v="0.00153293"/>
    <x v="295"/>
    <x v="295"/>
    <x v="287"/>
    <x v="256"/>
    <x v="207"/>
    <x v="277"/>
    <x v="285"/>
    <s v="1507352357"/>
  </r>
  <r>
    <x v="296"/>
    <x v="296"/>
    <s v="WBB"/>
    <s v="297"/>
    <s v="1.93372"/>
    <s v="0.00044179"/>
    <x v="296"/>
    <x v="296"/>
    <x v="288"/>
    <x v="257"/>
    <x v="208"/>
    <x v="278"/>
    <x v="286"/>
    <s v="1507352346"/>
  </r>
  <r>
    <x v="297"/>
    <x v="297"/>
    <s v="BIS"/>
    <s v="298"/>
    <s v="0.941394"/>
    <s v="0.00021508"/>
    <x v="297"/>
    <x v="297"/>
    <x v="289"/>
    <x v="258"/>
    <x v="209"/>
    <x v="279"/>
    <x v="17"/>
    <s v="1507352364"/>
  </r>
  <r>
    <x v="298"/>
    <x v="298"/>
    <s v="COVAL"/>
    <s v="299"/>
    <s v="0.0045959"/>
    <s v="0.00000105"/>
    <x v="298"/>
    <x v="298"/>
    <x v="29"/>
    <x v="259"/>
    <x v="18"/>
    <x v="280"/>
    <x v="287"/>
    <s v="1507352346"/>
  </r>
  <r>
    <x v="299"/>
    <x v="299"/>
    <s v="SEQ"/>
    <s v="300"/>
    <s v="0.101985"/>
    <s v="0.00002330"/>
    <x v="299"/>
    <x v="299"/>
    <x v="290"/>
    <x v="260"/>
    <x v="127"/>
    <x v="281"/>
    <x v="288"/>
    <s v="1507352352"/>
  </r>
  <r>
    <x v="300"/>
    <x v="300"/>
    <s v="PBT"/>
    <s v="301"/>
    <s v="4535.59"/>
    <s v="1.03622"/>
    <x v="300"/>
    <x v="300"/>
    <x v="291"/>
    <x v="261"/>
    <x v="108"/>
    <x v="282"/>
    <x v="289"/>
    <s v="1507352360"/>
  </r>
  <r>
    <x v="301"/>
    <x v="301"/>
    <s v="PASC"/>
    <s v="302"/>
    <s v="0.324339"/>
    <s v="0.00007410"/>
    <x v="301"/>
    <x v="301"/>
    <x v="292"/>
    <x v="262"/>
    <x v="210"/>
    <x v="283"/>
    <x v="290"/>
    <s v="1507352353"/>
  </r>
  <r>
    <x v="302"/>
    <x v="302"/>
    <s v="RAIN"/>
    <s v="303"/>
    <s v="0.072146"/>
    <s v="0.00001648"/>
    <x v="302"/>
    <x v="302"/>
    <x v="293"/>
    <x v="263"/>
    <x v="211"/>
    <x v="284"/>
    <x v="291"/>
    <s v="1507352357"/>
  </r>
  <r>
    <x v="303"/>
    <x v="303"/>
    <s v="HUSH"/>
    <s v="304"/>
    <s v="1.98778"/>
    <s v="0.00045414"/>
    <x v="303"/>
    <x v="303"/>
    <x v="294"/>
    <x v="264"/>
    <x v="212"/>
    <x v="285"/>
    <x v="292"/>
    <s v="1507352354"/>
  </r>
  <r>
    <x v="304"/>
    <x v="304"/>
    <s v="VISIO"/>
    <s v="305"/>
    <s v="0.0875816"/>
    <s v="0.00002001"/>
    <x v="304"/>
    <x v="304"/>
    <x v="295"/>
    <x v="265"/>
    <x v="213"/>
    <x v="243"/>
    <x v="293"/>
    <s v="1507352355"/>
  </r>
  <r>
    <x v="305"/>
    <x v="305"/>
    <s v="SWIFT"/>
    <s v="306"/>
    <s v="1.07513"/>
    <s v="0.00024563"/>
    <x v="305"/>
    <x v="305"/>
    <x v="296"/>
    <x v="266"/>
    <x v="214"/>
    <x v="89"/>
    <x v="12"/>
    <s v="1507352346"/>
  </r>
  <r>
    <x v="306"/>
    <x v="306"/>
    <s v="CRAVE"/>
    <s v="307"/>
    <s v="3.10705"/>
    <s v="0.00070985"/>
    <x v="306"/>
    <x v="306"/>
    <x v="297"/>
    <x v="267"/>
    <x v="43"/>
    <x v="14"/>
    <x v="294"/>
    <s v="1507352345"/>
  </r>
  <r>
    <x v="307"/>
    <x v="307"/>
    <s v="SNRG"/>
    <s v="308"/>
    <s v="1.39373"/>
    <s v="0.00031842"/>
    <x v="307"/>
    <x v="307"/>
    <x v="298"/>
    <x v="268"/>
    <x v="11"/>
    <x v="286"/>
    <x v="295"/>
    <s v="1507352346"/>
  </r>
  <r>
    <x v="308"/>
    <x v="308"/>
    <s v="SCL"/>
    <s v="309"/>
    <s v="0.256407"/>
    <s v="0.00005858"/>
    <x v="308"/>
    <x v="308"/>
    <x v="299"/>
    <x v="269"/>
    <x v="215"/>
    <x v="11"/>
    <x v="296"/>
    <s v="1507352363"/>
  </r>
  <r>
    <x v="309"/>
    <x v="309"/>
    <s v="TFL"/>
    <s v="310"/>
    <s v="0.660544"/>
    <s v="0.00015091"/>
    <x v="309"/>
    <x v="309"/>
    <x v="300"/>
    <x v="270"/>
    <x v="216"/>
    <x v="287"/>
    <x v="297"/>
    <s v="1507352362"/>
  </r>
  <r>
    <x v="310"/>
    <x v="310"/>
    <s v="ZRC"/>
    <s v="311"/>
    <s v="1.09646"/>
    <s v="0.0002505"/>
    <x v="310"/>
    <x v="310"/>
    <x v="301"/>
    <x v="271"/>
    <x v="203"/>
    <x v="288"/>
    <x v="298"/>
    <s v="1507352358"/>
  </r>
  <r>
    <x v="311"/>
    <x v="311"/>
    <s v="DYN"/>
    <s v="312"/>
    <s v="2.0791"/>
    <s v="0.000475"/>
    <x v="311"/>
    <x v="311"/>
    <x v="302"/>
    <x v="272"/>
    <x v="217"/>
    <x v="289"/>
    <x v="299"/>
    <s v="1507352357"/>
  </r>
  <r>
    <x v="312"/>
    <x v="312"/>
    <s v="CNT"/>
    <s v="313"/>
    <s v="0.0924283"/>
    <s v="0.00002112"/>
    <x v="312"/>
    <x v="312"/>
    <x v="303"/>
    <x v="273"/>
    <x v="83"/>
    <x v="115"/>
    <x v="190"/>
    <s v="1507352355"/>
  </r>
  <r>
    <x v="313"/>
    <x v="313"/>
    <s v="THC"/>
    <s v="314"/>
    <s v="0.0158449"/>
    <s v="0.00000362"/>
    <x v="313"/>
    <x v="313"/>
    <x v="304"/>
    <x v="274"/>
    <x v="218"/>
    <x v="290"/>
    <x v="300"/>
    <s v="1507352345"/>
  </r>
  <r>
    <x v="314"/>
    <x v="314"/>
    <s v="OCT"/>
    <s v="315"/>
    <s v="0.119106"/>
    <s v="0.00002721"/>
    <x v="314"/>
    <x v="314"/>
    <x v="258"/>
    <x v="229"/>
    <x v="219"/>
    <x v="291"/>
    <x v="301"/>
    <s v="1507352360"/>
  </r>
  <r>
    <x v="315"/>
    <x v="315"/>
    <s v="ZCL"/>
    <s v="316"/>
    <s v="1.92432"/>
    <s v="0.00043964"/>
    <x v="315"/>
    <x v="315"/>
    <x v="305"/>
    <x v="275"/>
    <x v="156"/>
    <x v="292"/>
    <x v="302"/>
    <s v="1507352353"/>
  </r>
  <r>
    <x v="316"/>
    <x v="316"/>
    <s v="TRUST"/>
    <s v="317"/>
    <s v="0.108376"/>
    <s v="0.00002476"/>
    <x v="316"/>
    <x v="316"/>
    <x v="306"/>
    <x v="276"/>
    <x v="220"/>
    <x v="293"/>
    <x v="303"/>
    <s v="1507352345"/>
  </r>
  <r>
    <x v="317"/>
    <x v="317"/>
    <s v="CHC"/>
    <s v="318"/>
    <s v="0.22064"/>
    <s v="0.00005041"/>
    <x v="317"/>
    <x v="317"/>
    <x v="307"/>
    <x v="277"/>
    <x v="37"/>
    <x v="294"/>
    <x v="304"/>
    <s v="1507352360"/>
  </r>
  <r>
    <x v="318"/>
    <x v="318"/>
    <s v="SBD"/>
    <s v="319"/>
    <s v="0.964551"/>
    <s v="0.00022037"/>
    <x v="318"/>
    <x v="318"/>
    <x v="308"/>
    <x v="278"/>
    <x v="221"/>
    <x v="295"/>
    <x v="305"/>
    <s v="1507352353"/>
  </r>
  <r>
    <x v="319"/>
    <x v="319"/>
    <s v="GEO"/>
    <s v="320"/>
    <s v="1.05586"/>
    <s v="0.00024123"/>
    <x v="319"/>
    <x v="319"/>
    <x v="309"/>
    <x v="279"/>
    <x v="222"/>
    <x v="87"/>
    <x v="306"/>
    <s v="1507352345"/>
  </r>
  <r>
    <x v="320"/>
    <x v="320"/>
    <s v="NSR"/>
    <s v="321"/>
    <s v="0.00122557"/>
    <s v="0.00000028"/>
    <x v="320"/>
    <x v="320"/>
    <x v="310"/>
    <x v="280"/>
    <x v="18"/>
    <x v="296"/>
    <x v="307"/>
    <s v="1507352346"/>
  </r>
  <r>
    <x v="321"/>
    <x v="321"/>
    <s v="XMY"/>
    <s v="322"/>
    <s v="0.00223367"/>
    <s v="0.00000051"/>
    <x v="321"/>
    <x v="321"/>
    <x v="311"/>
    <x v="281"/>
    <x v="223"/>
    <x v="297"/>
    <x v="308"/>
    <s v="1507352342"/>
  </r>
  <r>
    <x v="322"/>
    <x v="322"/>
    <s v="STA"/>
    <s v="323"/>
    <s v="0.642433"/>
    <s v="0.00014677"/>
    <x v="322"/>
    <x v="322"/>
    <x v="312"/>
    <x v="282"/>
    <x v="224"/>
    <x v="298"/>
    <x v="309"/>
    <s v="1507352360"/>
  </r>
  <r>
    <x v="323"/>
    <x v="323"/>
    <s v="SNC"/>
    <s v="324"/>
    <s v="0.0308733"/>
    <s v="0.00000705"/>
    <x v="323"/>
    <x v="323"/>
    <x v="313"/>
    <x v="283"/>
    <x v="6"/>
    <x v="299"/>
    <x v="310"/>
    <s v="1507352360"/>
  </r>
  <r>
    <x v="324"/>
    <x v="324"/>
    <s v="SYNX"/>
    <s v="325"/>
    <s v="0.205795"/>
    <s v="0.00004702"/>
    <x v="324"/>
    <x v="324"/>
    <x v="314"/>
    <x v="284"/>
    <x v="18"/>
    <x v="300"/>
    <x v="311"/>
    <s v="1507352362"/>
  </r>
  <r>
    <x v="325"/>
    <x v="325"/>
    <s v="MXT"/>
    <s v="326"/>
    <s v="1.15141"/>
    <s v="0.00026306"/>
    <x v="325"/>
    <x v="325"/>
    <x v="315"/>
    <x v="285"/>
    <x v="225"/>
    <x v="301"/>
    <x v="312"/>
    <s v="1507352350"/>
  </r>
  <r>
    <x v="326"/>
    <x v="326"/>
    <s v="DOPE"/>
    <s v="327"/>
    <s v="0.0284515"/>
    <s v="0.00000650"/>
    <x v="326"/>
    <x v="326"/>
    <x v="316"/>
    <x v="286"/>
    <x v="226"/>
    <x v="302"/>
    <x v="313"/>
    <s v="1507352342"/>
  </r>
  <r>
    <x v="327"/>
    <x v="327"/>
    <s v="BITUSD"/>
    <s v="328"/>
    <s v="1.00561"/>
    <s v="0.00022975"/>
    <x v="327"/>
    <x v="327"/>
    <x v="317"/>
    <x v="287"/>
    <x v="93"/>
    <x v="303"/>
    <x v="314"/>
    <s v="1507352345"/>
  </r>
  <r>
    <x v="328"/>
    <x v="328"/>
    <s v="ONION"/>
    <s v="329"/>
    <s v="0.897505"/>
    <s v="0.00020505"/>
    <x v="328"/>
    <x v="328"/>
    <x v="318"/>
    <x v="288"/>
    <x v="227"/>
    <x v="304"/>
    <x v="315"/>
    <s v="1507352361"/>
  </r>
  <r>
    <x v="329"/>
    <x v="329"/>
    <s v="XPM"/>
    <s v="330"/>
    <s v="0.147399"/>
    <s v="0.00003368"/>
    <x v="329"/>
    <x v="329"/>
    <x v="319"/>
    <x v="289"/>
    <x v="140"/>
    <x v="305"/>
    <x v="316"/>
    <s v="1507352341"/>
  </r>
  <r>
    <x v="330"/>
    <x v="330"/>
    <s v="BTM"/>
    <s v="331"/>
    <s v="0.450135"/>
    <s v="0.00010284"/>
    <x v="330"/>
    <x v="330"/>
    <x v="320"/>
    <x v="290"/>
    <x v="7"/>
    <x v="306"/>
    <x v="317"/>
    <s v="1507352345"/>
  </r>
  <r>
    <x v="331"/>
    <x v="331"/>
    <s v="MEME"/>
    <s v="332"/>
    <s v="0.18573"/>
    <s v="0.00004243"/>
    <x v="331"/>
    <x v="331"/>
    <x v="321"/>
    <x v="291"/>
    <x v="228"/>
    <x v="307"/>
    <x v="318"/>
    <s v="1507352351"/>
  </r>
  <r>
    <x v="332"/>
    <x v="332"/>
    <s v="PUT"/>
    <s v="333"/>
    <s v="0.0151394"/>
    <s v="0.00000346"/>
    <x v="332"/>
    <x v="332"/>
    <x v="322"/>
    <x v="292"/>
    <x v="229"/>
    <x v="308"/>
    <x v="319"/>
    <s v="1507352350"/>
  </r>
  <r>
    <x v="333"/>
    <x v="333"/>
    <s v="ETBS"/>
    <s v="334"/>
    <s v="2.15429"/>
    <s v="0.00049218"/>
    <x v="333"/>
    <x v="333"/>
    <x v="323"/>
    <x v="293"/>
    <x v="230"/>
    <x v="309"/>
    <x v="320"/>
    <s v="1507352358"/>
  </r>
  <r>
    <x v="334"/>
    <x v="334"/>
    <s v="EGC"/>
    <s v="335"/>
    <s v="0.222494"/>
    <s v="0.00005083"/>
    <x v="334"/>
    <x v="334"/>
    <x v="324"/>
    <x v="294"/>
    <x v="231"/>
    <x v="310"/>
    <x v="321"/>
    <s v="1507352351"/>
  </r>
  <r>
    <x v="335"/>
    <x v="335"/>
    <s v="BRX"/>
    <s v="336"/>
    <s v="0.471229"/>
    <s v="0.00010766"/>
    <x v="335"/>
    <x v="335"/>
    <x v="325"/>
    <x v="295"/>
    <x v="3"/>
    <x v="311"/>
    <x v="322"/>
    <s v="1507352350"/>
  </r>
  <r>
    <x v="336"/>
    <x v="336"/>
    <s v="VASH"/>
    <s v="337"/>
    <s v="0.00736283"/>
    <s v="0.00000168"/>
    <x v="336"/>
    <x v="336"/>
    <x v="326"/>
    <x v="296"/>
    <x v="232"/>
    <x v="312"/>
    <x v="323"/>
    <s v="1507352345"/>
  </r>
  <r>
    <x v="337"/>
    <x v="337"/>
    <s v="ATMS"/>
    <s v="338"/>
    <s v="0.0285894"/>
    <s v="0.00000653"/>
    <x v="337"/>
    <x v="337"/>
    <x v="327"/>
    <x v="297"/>
    <x v="18"/>
    <x v="313"/>
    <x v="324"/>
    <s v="1507352357"/>
  </r>
  <r>
    <x v="338"/>
    <x v="338"/>
    <s v="VRM"/>
    <s v="339"/>
    <s v="2.18864"/>
    <s v="0.00050002"/>
    <x v="338"/>
    <x v="338"/>
    <x v="328"/>
    <x v="298"/>
    <x v="233"/>
    <x v="314"/>
    <x v="325"/>
    <s v="1507352352"/>
  </r>
  <r>
    <x v="339"/>
    <x v="339"/>
    <s v="SIGT"/>
    <s v="340"/>
    <s v="0.026353"/>
    <s v="0.00000602"/>
    <x v="339"/>
    <x v="339"/>
    <x v="329"/>
    <x v="299"/>
    <x v="234"/>
    <x v="315"/>
    <x v="326"/>
    <s v="1507352361"/>
  </r>
  <r>
    <x v="340"/>
    <x v="340"/>
    <s v="REX"/>
    <s v="341"/>
    <s v="0.327004"/>
    <s v="0.00007471"/>
    <x v="340"/>
    <x v="340"/>
    <x v="330"/>
    <x v="300"/>
    <x v="235"/>
    <x v="316"/>
    <x v="327"/>
    <s v="1507352363"/>
  </r>
  <r>
    <x v="341"/>
    <x v="341"/>
    <s v="CSC"/>
    <s v="342"/>
    <s v="0.0721603"/>
    <s v="0.00001649"/>
    <x v="341"/>
    <x v="341"/>
    <x v="331"/>
    <x v="301"/>
    <x v="236"/>
    <x v="317"/>
    <x v="97"/>
    <s v="1507352341"/>
  </r>
  <r>
    <x v="342"/>
    <x v="342"/>
    <s v="2GIVE"/>
    <s v="343"/>
    <s v="0.00534003"/>
    <s v="0.00000122"/>
    <x v="342"/>
    <x v="342"/>
    <x v="332"/>
    <x v="302"/>
    <x v="18"/>
    <x v="318"/>
    <x v="328"/>
    <s v="1507352350"/>
  </r>
  <r>
    <x v="343"/>
    <x v="343"/>
    <s v="ZEIT"/>
    <s v="344"/>
    <s v="0.0000744104"/>
    <s v="0.00000002"/>
    <x v="343"/>
    <x v="343"/>
    <x v="333"/>
    <x v="303"/>
    <x v="237"/>
    <x v="319"/>
    <x v="329"/>
    <s v="1507352342"/>
  </r>
  <r>
    <x v="344"/>
    <x v="344"/>
    <s v="CHIPS"/>
    <s v="345"/>
    <s v="0.175126"/>
    <s v="0.00004001"/>
    <x v="344"/>
    <x v="344"/>
    <x v="334"/>
    <x v="304"/>
    <x v="18"/>
    <x v="320"/>
    <x v="256"/>
    <s v="1507352363"/>
  </r>
  <r>
    <x v="345"/>
    <x v="345"/>
    <s v="BRK"/>
    <s v="346"/>
    <s v="0.148875"/>
    <s v="0.00003401"/>
    <x v="345"/>
    <x v="345"/>
    <x v="335"/>
    <x v="305"/>
    <x v="238"/>
    <x v="321"/>
    <x v="330"/>
    <s v="1507352352"/>
  </r>
  <r>
    <x v="346"/>
    <x v="346"/>
    <s v="TX"/>
    <s v="347"/>
    <s v="0.424098"/>
    <s v="0.00009689"/>
    <x v="346"/>
    <x v="346"/>
    <x v="336"/>
    <x v="306"/>
    <x v="141"/>
    <x v="123"/>
    <x v="331"/>
    <s v="1507352351"/>
  </r>
  <r>
    <x v="347"/>
    <x v="347"/>
    <s v="B3"/>
    <s v="348"/>
    <s v="0.0236832"/>
    <s v="0.00000541"/>
    <x v="347"/>
    <x v="347"/>
    <x v="337"/>
    <x v="307"/>
    <x v="239"/>
    <x v="322"/>
    <x v="332"/>
    <s v="1507352351"/>
  </r>
  <r>
    <x v="348"/>
    <x v="348"/>
    <s v="HPC"/>
    <s v="349"/>
    <s v="0.211532"/>
    <s v="0.00004833"/>
    <x v="348"/>
    <x v="348"/>
    <x v="338"/>
    <x v="308"/>
    <x v="240"/>
    <x v="323"/>
    <x v="333"/>
    <s v="1507352356"/>
  </r>
  <r>
    <x v="349"/>
    <x v="349"/>
    <s v="OCL"/>
    <s v="350"/>
    <s v="0.0543431"/>
    <s v="0.00001242"/>
    <x v="349"/>
    <x v="349"/>
    <x v="339"/>
    <x v="231"/>
    <x v="195"/>
    <x v="324"/>
    <x v="334"/>
    <s v="1507352363"/>
  </r>
  <r>
    <x v="350"/>
    <x v="350"/>
    <s v="BLU"/>
    <s v="351"/>
    <s v="0.00429429"/>
    <s v="0.00000098"/>
    <x v="350"/>
    <x v="350"/>
    <x v="340"/>
    <x v="309"/>
    <x v="87"/>
    <x v="325"/>
    <x v="335"/>
    <s v="1507352343"/>
  </r>
  <r>
    <x v="351"/>
    <x v="351"/>
    <s v="ADST"/>
    <s v="352"/>
    <s v="0.197854"/>
    <s v="0.00004520"/>
    <x v="351"/>
    <x v="351"/>
    <x v="341"/>
    <x v="310"/>
    <x v="241"/>
    <x v="326"/>
    <x v="336"/>
    <s v="1507352362"/>
  </r>
  <r>
    <x v="352"/>
    <x v="352"/>
    <s v="MBRS"/>
    <s v="353"/>
    <s v="0.0486938"/>
    <s v="0.00001112"/>
    <x v="352"/>
    <x v="352"/>
    <x v="7"/>
    <x v="231"/>
    <x v="242"/>
    <x v="327"/>
    <x v="337"/>
    <s v="1507352360"/>
  </r>
  <r>
    <x v="353"/>
    <x v="353"/>
    <s v="NDC"/>
    <s v="354"/>
    <s v="0.0566111"/>
    <s v="0.00001293"/>
    <x v="353"/>
    <x v="353"/>
    <x v="342"/>
    <x v="311"/>
    <x v="172"/>
    <x v="328"/>
    <x v="338"/>
    <s v="1507352361"/>
  </r>
  <r>
    <x v="354"/>
    <x v="354"/>
    <s v="CANN"/>
    <s v="355"/>
    <s v="0.0298758"/>
    <s v="0.00000683"/>
    <x v="354"/>
    <x v="354"/>
    <x v="343"/>
    <x v="312"/>
    <x v="119"/>
    <x v="329"/>
    <x v="339"/>
    <s v="1507352344"/>
  </r>
  <r>
    <x v="355"/>
    <x v="355"/>
    <s v="NAUT"/>
    <s v="356"/>
    <s v="0.141904"/>
    <s v="0.00003242"/>
    <x v="355"/>
    <x v="355"/>
    <x v="344"/>
    <x v="313"/>
    <x v="243"/>
    <x v="330"/>
    <x v="340"/>
    <s v="1507352343"/>
  </r>
  <r>
    <x v="356"/>
    <x v="356"/>
    <s v="CREA"/>
    <s v="357"/>
    <s v="0.182144"/>
    <s v="0.00004161"/>
    <x v="356"/>
    <x v="356"/>
    <x v="345"/>
    <x v="314"/>
    <x v="200"/>
    <x v="147"/>
    <x v="341"/>
    <s v="1507352357"/>
  </r>
  <r>
    <x v="357"/>
    <x v="357"/>
    <s v="RMC"/>
    <s v="358"/>
    <s v="1.13803"/>
    <s v="0.00026"/>
    <x v="357"/>
    <x v="357"/>
    <x v="346"/>
    <x v="315"/>
    <x v="244"/>
    <x v="287"/>
    <x v="342"/>
    <s v="1507352359"/>
  </r>
  <r>
    <x v="358"/>
    <x v="358"/>
    <s v="MINT"/>
    <s v="359"/>
    <s v="0.0000875396"/>
    <s v="0.00000002"/>
    <x v="358"/>
    <x v="358"/>
    <x v="347"/>
    <x v="316"/>
    <x v="43"/>
    <x v="331"/>
    <x v="143"/>
    <s v="1507352342"/>
  </r>
  <r>
    <x v="359"/>
    <x v="359"/>
    <s v="TKS"/>
    <s v="360"/>
    <s v="1.89011"/>
    <s v="0.00043182"/>
    <x v="359"/>
    <x v="359"/>
    <x v="348"/>
    <x v="231"/>
    <x v="245"/>
    <x v="332"/>
    <x v="343"/>
    <s v="1507352355"/>
  </r>
  <r>
    <x v="360"/>
    <x v="360"/>
    <s v="INXT"/>
    <s v="361"/>
    <s v="3.37126"/>
    <s v="0.00077021"/>
    <x v="360"/>
    <x v="360"/>
    <x v="349"/>
    <x v="317"/>
    <x v="246"/>
    <x v="108"/>
    <x v="17"/>
    <s v="1507352363"/>
  </r>
  <r>
    <x v="361"/>
    <x v="361"/>
    <s v="VTR"/>
    <s v="362"/>
    <s v="0.191715"/>
    <s v="0.00004380"/>
    <x v="361"/>
    <x v="361"/>
    <x v="350"/>
    <x v="318"/>
    <x v="247"/>
    <x v="333"/>
    <x v="344"/>
    <s v="1507352345"/>
  </r>
  <r>
    <x v="362"/>
    <x v="362"/>
    <s v="PING"/>
    <s v="363"/>
    <s v="0.207081"/>
    <s v="0.00004731"/>
    <x v="362"/>
    <x v="362"/>
    <x v="351"/>
    <x v="319"/>
    <x v="248"/>
    <x v="334"/>
    <x v="345"/>
    <s v="1507352359"/>
  </r>
  <r>
    <x v="363"/>
    <x v="363"/>
    <s v="START"/>
    <s v="364"/>
    <s v="0.0452997"/>
    <s v="0.00001035"/>
    <x v="363"/>
    <x v="363"/>
    <x v="352"/>
    <x v="320"/>
    <x v="249"/>
    <x v="335"/>
    <x v="346"/>
    <s v="1507352344"/>
  </r>
  <r>
    <x v="364"/>
    <x v="364"/>
    <s v="LGD"/>
    <s v="365"/>
    <s v="1.0101"/>
    <s v="0.00023077"/>
    <x v="364"/>
    <x v="364"/>
    <x v="45"/>
    <x v="229"/>
    <x v="0"/>
    <x v="336"/>
    <x v="347"/>
    <s v="1507352358"/>
  </r>
  <r>
    <x v="365"/>
    <x v="365"/>
    <s v="CV2"/>
    <s v="366"/>
    <s v="0.0000877504"/>
    <s v="0.00000002"/>
    <x v="365"/>
    <x v="365"/>
    <x v="353"/>
    <x v="321"/>
    <x v="18"/>
    <x v="337"/>
    <x v="348"/>
    <s v="1507352350"/>
  </r>
  <r>
    <x v="366"/>
    <x v="366"/>
    <s v="ELIX"/>
    <s v="367"/>
    <s v="0.129779"/>
    <s v="0.00002965"/>
    <x v="366"/>
    <x v="366"/>
    <x v="354"/>
    <x v="322"/>
    <x v="250"/>
    <x v="338"/>
    <x v="349"/>
    <s v="1507352363"/>
  </r>
  <r>
    <x v="367"/>
    <x v="367"/>
    <s v="SHORTY"/>
    <s v="368"/>
    <s v="0.0195216"/>
    <s v="0.00000446"/>
    <x v="367"/>
    <x v="367"/>
    <x v="16"/>
    <x v="7"/>
    <x v="251"/>
    <x v="339"/>
    <x v="17"/>
    <s v="1507352356"/>
  </r>
  <r>
    <x v="368"/>
    <x v="368"/>
    <s v="DAR"/>
    <s v="369"/>
    <s v="0.142911"/>
    <s v="0.00003265"/>
    <x v="368"/>
    <x v="368"/>
    <x v="355"/>
    <x v="323"/>
    <x v="150"/>
    <x v="340"/>
    <x v="350"/>
    <s v="1507352354"/>
  </r>
  <r>
    <x v="369"/>
    <x v="369"/>
    <s v="ESP"/>
    <s v="370"/>
    <s v="0.0000875452"/>
    <s v="0.00000002"/>
    <x v="369"/>
    <x v="369"/>
    <x v="356"/>
    <x v="324"/>
    <x v="18"/>
    <x v="341"/>
    <x v="351"/>
    <s v="1507352349"/>
  </r>
  <r>
    <x v="370"/>
    <x v="370"/>
    <s v="RNS"/>
    <s v="371"/>
    <s v="0.0534269"/>
    <s v="0.00001221"/>
    <x v="370"/>
    <x v="370"/>
    <x v="357"/>
    <x v="325"/>
    <x v="239"/>
    <x v="50"/>
    <x v="352"/>
    <s v="1507352355"/>
  </r>
  <r>
    <x v="371"/>
    <x v="371"/>
    <s v="XMG"/>
    <s v="372"/>
    <s v="0.234486"/>
    <s v="0.00005357"/>
    <x v="371"/>
    <x v="371"/>
    <x v="358"/>
    <x v="326"/>
    <x v="3"/>
    <x v="342"/>
    <x v="353"/>
    <s v="1507352346"/>
  </r>
  <r>
    <x v="372"/>
    <x v="372"/>
    <s v="HUC"/>
    <s v="373"/>
    <s v="0.0895982"/>
    <s v="0.00002047"/>
    <x v="372"/>
    <x v="372"/>
    <x v="359"/>
    <x v="327"/>
    <x v="252"/>
    <x v="343"/>
    <x v="354"/>
    <s v="1507352359"/>
  </r>
  <r>
    <x v="373"/>
    <x v="373"/>
    <s v="1337"/>
    <s v="374"/>
    <s v="0.0000747110"/>
    <s v="0.00000002"/>
    <x v="373"/>
    <x v="373"/>
    <x v="360"/>
    <x v="328"/>
    <x v="253"/>
    <x v="344"/>
    <x v="355"/>
    <s v="1507352350"/>
  </r>
  <r>
    <x v="374"/>
    <x v="374"/>
    <s v="ADZ"/>
    <s v="375"/>
    <s v="0.0376617"/>
    <s v="0.00000860"/>
    <x v="374"/>
    <x v="374"/>
    <x v="361"/>
    <x v="329"/>
    <x v="254"/>
    <x v="345"/>
    <x v="356"/>
    <s v="1507352348"/>
  </r>
  <r>
    <x v="375"/>
    <x v="375"/>
    <s v="RUP"/>
    <s v="376"/>
    <s v="0.0756883"/>
    <s v="0.00001729"/>
    <x v="375"/>
    <x v="375"/>
    <x v="362"/>
    <x v="330"/>
    <x v="255"/>
    <x v="346"/>
    <x v="357"/>
    <s v="1507352360"/>
  </r>
  <r>
    <x v="376"/>
    <x v="376"/>
    <s v="MGC"/>
    <s v="377"/>
    <s v="0.0174304"/>
    <s v="0.00000398"/>
    <x v="376"/>
    <x v="376"/>
    <x v="363"/>
    <x v="7"/>
    <x v="31"/>
    <x v="347"/>
    <x v="280"/>
    <s v="1507352357"/>
  </r>
  <r>
    <x v="377"/>
    <x v="377"/>
    <s v="ADL"/>
    <s v="378"/>
    <s v="0.0704258"/>
    <s v="0.00001609"/>
    <x v="377"/>
    <x v="377"/>
    <x v="364"/>
    <x v="7"/>
    <x v="155"/>
    <x v="348"/>
    <x v="127"/>
    <s v="1507352358"/>
  </r>
  <r>
    <x v="378"/>
    <x v="378"/>
    <s v="JNS"/>
    <s v="379"/>
    <s v="0.0728636"/>
    <s v="0.00001665"/>
    <x v="378"/>
    <x v="378"/>
    <x v="365"/>
    <x v="331"/>
    <x v="256"/>
    <x v="349"/>
    <x v="358"/>
    <s v="1507352354"/>
  </r>
  <r>
    <x v="379"/>
    <x v="379"/>
    <s v="RIC"/>
    <s v="380"/>
    <s v="0.0433328"/>
    <s v="0.00000990"/>
    <x v="379"/>
    <x v="379"/>
    <x v="366"/>
    <x v="332"/>
    <x v="257"/>
    <x v="350"/>
    <x v="359"/>
    <s v="1507352342"/>
  </r>
  <r>
    <x v="380"/>
    <x v="380"/>
    <s v="EFL"/>
    <s v="381"/>
    <s v="0.104642"/>
    <s v="0.00002391"/>
    <x v="380"/>
    <x v="380"/>
    <x v="367"/>
    <x v="333"/>
    <x v="154"/>
    <x v="351"/>
    <x v="360"/>
    <s v="1507352359"/>
  </r>
  <r>
    <x v="381"/>
    <x v="381"/>
    <s v="LINDA"/>
    <s v="382"/>
    <s v="0.000265935"/>
    <s v="0.00000006"/>
    <x v="381"/>
    <x v="381"/>
    <x v="368"/>
    <x v="334"/>
    <x v="123"/>
    <x v="352"/>
    <x v="361"/>
    <s v="1507352360"/>
  </r>
  <r>
    <x v="382"/>
    <x v="382"/>
    <s v="PKB"/>
    <s v="383"/>
    <s v="0.330831"/>
    <s v="0.00007558"/>
    <x v="382"/>
    <x v="382"/>
    <x v="369"/>
    <x v="335"/>
    <x v="165"/>
    <x v="290"/>
    <x v="362"/>
    <s v="1507352347"/>
  </r>
  <r>
    <x v="383"/>
    <x v="383"/>
    <s v="CCRB"/>
    <s v="384"/>
    <s v="0.439576"/>
    <s v="0.00010043"/>
    <x v="383"/>
    <x v="383"/>
    <x v="370"/>
    <x v="32"/>
    <x v="154"/>
    <x v="353"/>
    <x v="363"/>
    <s v="1507352354"/>
  </r>
  <r>
    <x v="384"/>
    <x v="384"/>
    <s v="MNE"/>
    <s v="385"/>
    <s v="1.37025"/>
    <s v="0.00031305"/>
    <x v="384"/>
    <x v="384"/>
    <x v="371"/>
    <x v="336"/>
    <x v="258"/>
    <x v="106"/>
    <x v="364"/>
    <s v="1507352357"/>
  </r>
  <r>
    <x v="385"/>
    <x v="385"/>
    <s v="FYN"/>
    <s v="386"/>
    <s v="1.81648"/>
    <s v="0.000415"/>
    <x v="385"/>
    <x v="385"/>
    <x v="216"/>
    <x v="337"/>
    <x v="163"/>
    <x v="354"/>
    <x v="365"/>
    <s v="1507352361"/>
  </r>
  <r>
    <x v="386"/>
    <x v="386"/>
    <s v="DIME"/>
    <s v="387"/>
    <s v="0.0000028220"/>
    <s v="0.0000000006"/>
    <x v="386"/>
    <x v="386"/>
    <x v="372"/>
    <x v="338"/>
    <x v="259"/>
    <x v="355"/>
    <x v="366"/>
    <s v="1507352341"/>
  </r>
  <r>
    <x v="387"/>
    <x v="387"/>
    <s v="XMCC"/>
    <s v="388"/>
    <s v="0.671873"/>
    <s v="0.0001535"/>
    <x v="387"/>
    <x v="387"/>
    <x v="373"/>
    <x v="339"/>
    <x v="260"/>
    <x v="356"/>
    <x v="367"/>
    <s v="1507352362"/>
  </r>
  <r>
    <x v="388"/>
    <x v="388"/>
    <s v="SKIN"/>
    <s v="389"/>
    <s v="0.0169604"/>
    <s v="0.00000387"/>
    <x v="388"/>
    <x v="388"/>
    <x v="374"/>
    <x v="340"/>
    <x v="68"/>
    <x v="357"/>
    <x v="74"/>
    <s v="1507352361"/>
  </r>
  <r>
    <x v="389"/>
    <x v="389"/>
    <s v="MER"/>
    <s v="390"/>
    <s v="0.0147998"/>
    <s v="0.00000338"/>
    <x v="389"/>
    <x v="389"/>
    <x v="16"/>
    <x v="7"/>
    <x v="162"/>
    <x v="235"/>
    <x v="368"/>
    <s v="1507352355"/>
  </r>
  <r>
    <x v="390"/>
    <x v="390"/>
    <s v="HYP"/>
    <s v="391"/>
    <s v="0.00145288"/>
    <s v="0.00000033"/>
    <x v="390"/>
    <x v="390"/>
    <x v="375"/>
    <x v="341"/>
    <x v="18"/>
    <x v="358"/>
    <x v="369"/>
    <s v="1507352345"/>
  </r>
  <r>
    <x v="391"/>
    <x v="391"/>
    <s v="UNIFY"/>
    <s v="392"/>
    <s v="0.0830792"/>
    <s v="0.00001898"/>
    <x v="391"/>
    <x v="391"/>
    <x v="376"/>
    <x v="342"/>
    <x v="261"/>
    <x v="359"/>
    <x v="370"/>
    <s v="1507352358"/>
  </r>
  <r>
    <x v="392"/>
    <x v="392"/>
    <s v="BLAS"/>
    <s v="393"/>
    <s v="0.00571309"/>
    <s v="0.00000131"/>
    <x v="392"/>
    <x v="392"/>
    <x v="377"/>
    <x v="343"/>
    <x v="262"/>
    <x v="360"/>
    <x v="371"/>
    <s v="1507352361"/>
  </r>
  <r>
    <x v="393"/>
    <x v="393"/>
    <s v="FST"/>
    <s v="394"/>
    <s v="0.0109961"/>
    <s v="0.00000251"/>
    <x v="393"/>
    <x v="393"/>
    <x v="378"/>
    <x v="344"/>
    <x v="263"/>
    <x v="361"/>
    <x v="372"/>
    <s v="1507352340"/>
  </r>
  <r>
    <x v="394"/>
    <x v="394"/>
    <s v="ZENI"/>
    <s v="395"/>
    <s v="0.00135776"/>
    <s v="0.00000031"/>
    <x v="394"/>
    <x v="394"/>
    <x v="379"/>
    <x v="345"/>
    <x v="18"/>
    <x v="362"/>
    <x v="373"/>
    <s v="1507352356"/>
  </r>
  <r>
    <x v="395"/>
    <x v="395"/>
    <s v="SXC"/>
    <s v="396"/>
    <s v="0.0104633"/>
    <s v="0.00000239"/>
    <x v="395"/>
    <x v="395"/>
    <x v="380"/>
    <x v="346"/>
    <x v="264"/>
    <x v="363"/>
    <x v="374"/>
    <s v="1507352340"/>
  </r>
  <r>
    <x v="396"/>
    <x v="396"/>
    <s v="INSN"/>
    <s v="397"/>
    <s v="0.0770692"/>
    <s v="0.00001761"/>
    <x v="396"/>
    <x v="396"/>
    <x v="381"/>
    <x v="347"/>
    <x v="140"/>
    <x v="364"/>
    <x v="375"/>
    <s v="1507352357"/>
  </r>
  <r>
    <x v="397"/>
    <x v="397"/>
    <s v="EOT"/>
    <s v="398"/>
    <s v="0.512646"/>
    <s v="0.00011712"/>
    <x v="397"/>
    <x v="397"/>
    <x v="382"/>
    <x v="348"/>
    <x v="141"/>
    <x v="365"/>
    <x v="376"/>
    <s v="1507352362"/>
  </r>
  <r>
    <x v="398"/>
    <x v="398"/>
    <s v="GRWI"/>
    <s v="399"/>
    <s v="1.22959"/>
    <s v="0.00028092"/>
    <x v="398"/>
    <x v="398"/>
    <x v="383"/>
    <x v="349"/>
    <x v="125"/>
    <x v="366"/>
    <x v="377"/>
    <s v="1507352361"/>
  </r>
  <r>
    <x v="399"/>
    <x v="399"/>
    <s v="808"/>
    <s v="400"/>
    <s v="0.00139824"/>
    <s v="0.00000032"/>
    <x v="399"/>
    <x v="399"/>
    <x v="384"/>
    <x v="350"/>
    <x v="265"/>
    <x v="367"/>
    <x v="378"/>
    <s v="1507352353"/>
  </r>
  <r>
    <x v="400"/>
    <x v="400"/>
    <s v="BTA"/>
    <s v="401"/>
    <s v="0.254812"/>
    <s v="0.00005822"/>
    <x v="400"/>
    <x v="400"/>
    <x v="385"/>
    <x v="351"/>
    <x v="192"/>
    <x v="368"/>
    <x v="379"/>
    <s v="1507352359"/>
  </r>
  <r>
    <x v="401"/>
    <x v="401"/>
    <s v="MRT"/>
    <s v="402"/>
    <s v="0.123584"/>
    <s v="0.00002823"/>
    <x v="401"/>
    <x v="401"/>
    <x v="208"/>
    <x v="45"/>
    <x v="266"/>
    <x v="369"/>
    <x v="380"/>
    <s v="1507352358"/>
  </r>
  <r>
    <x v="402"/>
    <x v="402"/>
    <s v="ONX"/>
    <s v="403"/>
    <s v="0.0447979"/>
    <s v="0.00001023"/>
    <x v="402"/>
    <x v="402"/>
    <x v="386"/>
    <x v="352"/>
    <x v="267"/>
    <x v="370"/>
    <x v="381"/>
    <s v="1507352358"/>
  </r>
  <r>
    <x v="403"/>
    <x v="403"/>
    <s v="VIVO"/>
    <s v="404"/>
    <s v="3.19695"/>
    <s v="0.00073039"/>
    <x v="403"/>
    <x v="403"/>
    <x v="387"/>
    <x v="353"/>
    <x v="268"/>
    <x v="371"/>
    <x v="382"/>
    <s v="1507352363"/>
  </r>
  <r>
    <x v="404"/>
    <x v="404"/>
    <s v="LNK"/>
    <s v="405"/>
    <s v="25.5957"/>
    <s v="0.0058477"/>
    <x v="404"/>
    <x v="404"/>
    <x v="388"/>
    <x v="354"/>
    <x v="269"/>
    <x v="372"/>
    <x v="383"/>
    <s v="1507352360"/>
  </r>
  <r>
    <x v="405"/>
    <x v="405"/>
    <s v="XFT"/>
    <s v="406"/>
    <s v="0.26538"/>
    <s v="0.00006063"/>
    <x v="405"/>
    <x v="405"/>
    <x v="389"/>
    <x v="355"/>
    <x v="44"/>
    <x v="373"/>
    <x v="384"/>
    <s v="1507352350"/>
  </r>
  <r>
    <x v="406"/>
    <x v="406"/>
    <s v="ARC"/>
    <s v="407"/>
    <s v="0.0488854"/>
    <s v="0.00001117"/>
    <x v="406"/>
    <x v="406"/>
    <x v="390"/>
    <x v="356"/>
    <x v="149"/>
    <x v="374"/>
    <x v="385"/>
    <s v="1507352352"/>
  </r>
  <r>
    <x v="407"/>
    <x v="407"/>
    <s v="TKR"/>
    <s v="408"/>
    <s v="0.102"/>
    <s v="0.00002330"/>
    <x v="407"/>
    <x v="407"/>
    <x v="391"/>
    <x v="357"/>
    <x v="270"/>
    <x v="375"/>
    <x v="386"/>
    <s v="1507352363"/>
  </r>
  <r>
    <x v="408"/>
    <x v="408"/>
    <s v="SMLY"/>
    <s v="409"/>
    <s v="0.0000450687"/>
    <s v="0.00000001"/>
    <x v="408"/>
    <x v="408"/>
    <x v="392"/>
    <x v="358"/>
    <x v="271"/>
    <x v="376"/>
    <x v="387"/>
    <s v="1507352346"/>
  </r>
  <r>
    <x v="409"/>
    <x v="409"/>
    <s v="WTT"/>
    <s v="410"/>
    <s v="1.29221"/>
    <s v="0.00029522"/>
    <x v="409"/>
    <x v="409"/>
    <x v="393"/>
    <x v="359"/>
    <x v="272"/>
    <x v="377"/>
    <x v="388"/>
    <s v="1507352362"/>
  </r>
  <r>
    <x v="410"/>
    <x v="410"/>
    <s v="ZOI"/>
    <s v="411"/>
    <s v="0.0814314"/>
    <s v="0.00001860"/>
    <x v="410"/>
    <x v="410"/>
    <x v="394"/>
    <x v="360"/>
    <x v="18"/>
    <x v="378"/>
    <x v="389"/>
    <s v="1507352353"/>
  </r>
  <r>
    <x v="411"/>
    <x v="411"/>
    <s v="NETKO"/>
    <s v="412"/>
    <s v="0.290023"/>
    <s v="0.00006626"/>
    <x v="411"/>
    <x v="411"/>
    <x v="395"/>
    <x v="361"/>
    <x v="60"/>
    <x v="379"/>
    <x v="390"/>
    <s v="1507352355"/>
  </r>
  <r>
    <x v="412"/>
    <x v="412"/>
    <s v="INFX"/>
    <s v="413"/>
    <s v="0.678455"/>
    <s v="0.000155"/>
    <x v="412"/>
    <x v="412"/>
    <x v="396"/>
    <x v="362"/>
    <x v="183"/>
    <x v="380"/>
    <x v="391"/>
    <s v="1507352347"/>
  </r>
  <r>
    <x v="413"/>
    <x v="413"/>
    <s v="BYC"/>
    <s v="414"/>
    <s v="0.604033"/>
    <s v="0.000138"/>
    <x v="413"/>
    <x v="413"/>
    <x v="397"/>
    <x v="363"/>
    <x v="18"/>
    <x v="381"/>
    <x v="392"/>
    <s v="1507352346"/>
  </r>
  <r>
    <x v="414"/>
    <x v="414"/>
    <s v="BUCKS"/>
    <s v="415"/>
    <s v="3.77562"/>
    <s v="0.0008626"/>
    <x v="414"/>
    <x v="414"/>
    <x v="398"/>
    <x v="364"/>
    <x v="273"/>
    <x v="382"/>
    <x v="393"/>
    <s v="1507352348"/>
  </r>
  <r>
    <x v="415"/>
    <x v="415"/>
    <s v="DOT"/>
    <s v="416"/>
    <s v="0.004135"/>
    <s v="0.00000094"/>
    <x v="415"/>
    <x v="415"/>
    <x v="399"/>
    <x v="365"/>
    <x v="274"/>
    <x v="383"/>
    <x v="394"/>
    <s v="1507352351"/>
  </r>
  <r>
    <x v="416"/>
    <x v="416"/>
    <s v="ZCC"/>
    <s v="417"/>
    <s v="0.0169796"/>
    <s v="0.00000388"/>
    <x v="416"/>
    <x v="416"/>
    <x v="400"/>
    <x v="366"/>
    <x v="43"/>
    <x v="181"/>
    <x v="395"/>
    <s v="1507352345"/>
  </r>
  <r>
    <x v="417"/>
    <x v="417"/>
    <s v="SUMO"/>
    <s v="418"/>
    <s v="0.601899"/>
    <s v="0.00013751"/>
    <x v="417"/>
    <x v="417"/>
    <x v="401"/>
    <x v="367"/>
    <x v="224"/>
    <x v="384"/>
    <x v="396"/>
    <s v="1507352357"/>
  </r>
  <r>
    <x v="418"/>
    <x v="418"/>
    <s v="CPC"/>
    <s v="419"/>
    <s v="0.516348"/>
    <s v="0.00011797"/>
    <x v="418"/>
    <x v="418"/>
    <x v="402"/>
    <x v="368"/>
    <x v="275"/>
    <x v="179"/>
    <x v="397"/>
    <s v="1507352349"/>
  </r>
  <r>
    <x v="419"/>
    <x v="419"/>
    <s v="TIPS"/>
    <s v="420"/>
    <s v="0.0000022186"/>
    <s v="0.0000000005"/>
    <x v="419"/>
    <x v="419"/>
    <x v="403"/>
    <x v="369"/>
    <x v="276"/>
    <x v="385"/>
    <x v="398"/>
    <s v="1507352341"/>
  </r>
  <r>
    <x v="420"/>
    <x v="420"/>
    <s v="USNBT"/>
    <s v="421"/>
    <s v="1.00016"/>
    <s v="0.0002285"/>
    <x v="420"/>
    <x v="420"/>
    <x v="404"/>
    <x v="370"/>
    <x v="52"/>
    <x v="386"/>
    <x v="399"/>
    <s v="1507352344"/>
  </r>
  <r>
    <x v="421"/>
    <x v="421"/>
    <s v="LOG"/>
    <s v="422"/>
    <s v="0.118137"/>
    <s v="0.00002699"/>
    <x v="421"/>
    <x v="421"/>
    <x v="405"/>
    <x v="371"/>
    <x v="43"/>
    <x v="387"/>
    <x v="400"/>
    <s v="1507352346"/>
  </r>
  <r>
    <x v="422"/>
    <x v="422"/>
    <s v="FUCK"/>
    <s v="423"/>
    <s v="0.0184494"/>
    <s v="0.00000422"/>
    <x v="422"/>
    <x v="422"/>
    <x v="406"/>
    <x v="372"/>
    <x v="108"/>
    <x v="388"/>
    <x v="401"/>
    <s v="1507352360"/>
  </r>
  <r>
    <x v="423"/>
    <x v="423"/>
    <s v="WDC"/>
    <s v="424"/>
    <s v="0.00817094"/>
    <s v="0.00000187"/>
    <x v="423"/>
    <x v="423"/>
    <x v="407"/>
    <x v="373"/>
    <x v="277"/>
    <x v="389"/>
    <x v="402"/>
    <s v="1507352341"/>
  </r>
  <r>
    <x v="424"/>
    <x v="424"/>
    <s v="HNC"/>
    <s v="425"/>
    <s v="0.0166328"/>
    <s v="0.00000380"/>
    <x v="424"/>
    <x v="424"/>
    <x v="408"/>
    <x v="374"/>
    <x v="18"/>
    <x v="390"/>
    <x v="403"/>
    <s v="1507352347"/>
  </r>
  <r>
    <x v="425"/>
    <x v="425"/>
    <s v="STRC"/>
    <s v="426"/>
    <s v="0.198893"/>
    <s v="0.00004544"/>
    <x v="425"/>
    <x v="425"/>
    <x v="409"/>
    <x v="191"/>
    <x v="18"/>
    <x v="391"/>
    <x v="404"/>
    <s v="1507352362"/>
  </r>
  <r>
    <x v="426"/>
    <x v="426"/>
    <s v="MAO"/>
    <s v="427"/>
    <s v="0.142911"/>
    <s v="0.00003265"/>
    <x v="426"/>
    <x v="426"/>
    <x v="410"/>
    <x v="375"/>
    <x v="18"/>
    <x v="392"/>
    <x v="405"/>
    <s v="1507352363"/>
  </r>
  <r>
    <x v="427"/>
    <x v="427"/>
    <s v="NTO"/>
    <s v="428"/>
    <s v="0.0134588"/>
    <s v="0.00000307"/>
    <x v="427"/>
    <x v="427"/>
    <x v="411"/>
    <x v="311"/>
    <x v="278"/>
    <x v="393"/>
    <x v="406"/>
    <s v="1507352362"/>
  </r>
  <r>
    <x v="428"/>
    <x v="428"/>
    <s v="CRM"/>
    <s v="429"/>
    <s v="0.0198106"/>
    <s v="0.00000453"/>
    <x v="428"/>
    <x v="428"/>
    <x v="412"/>
    <x v="376"/>
    <x v="279"/>
    <x v="394"/>
    <x v="407"/>
    <s v="1507352360"/>
  </r>
  <r>
    <x v="429"/>
    <x v="429"/>
    <s v="XHI"/>
    <s v="430"/>
    <s v="0.00455212"/>
    <s v="0.00000104"/>
    <x v="429"/>
    <x v="429"/>
    <x v="413"/>
    <x v="377"/>
    <x v="280"/>
    <x v="395"/>
    <x v="408"/>
    <s v="1507352349"/>
  </r>
  <r>
    <x v="430"/>
    <x v="430"/>
    <s v="IFLT"/>
    <s v="431"/>
    <s v="0.0000397147"/>
    <s v="0.000000009"/>
    <x v="430"/>
    <x v="430"/>
    <x v="414"/>
    <x v="378"/>
    <x v="281"/>
    <x v="396"/>
    <x v="409"/>
    <s v="1507352354"/>
  </r>
  <r>
    <x v="431"/>
    <x v="431"/>
    <s v="DCY"/>
    <s v="432"/>
    <s v="0.000640372"/>
    <s v="0.00000015"/>
    <x v="431"/>
    <x v="431"/>
    <x v="415"/>
    <x v="379"/>
    <x v="282"/>
    <x v="397"/>
    <x v="410"/>
    <s v="1507352359"/>
  </r>
  <r>
    <x v="432"/>
    <x v="432"/>
    <s v="XBL"/>
    <s v="433"/>
    <s v="0.242474"/>
    <s v="0.00005540"/>
    <x v="432"/>
    <x v="432"/>
    <x v="416"/>
    <x v="380"/>
    <x v="283"/>
    <x v="398"/>
    <x v="411"/>
    <s v="1507352363"/>
  </r>
  <r>
    <x v="433"/>
    <x v="433"/>
    <s v="TYCHO"/>
    <s v="434"/>
    <s v="0.159237"/>
    <s v="0.00003638"/>
    <x v="433"/>
    <x v="433"/>
    <x v="417"/>
    <x v="381"/>
    <x v="284"/>
    <x v="399"/>
    <x v="412"/>
    <s v="1507352359"/>
  </r>
  <r>
    <x v="434"/>
    <x v="434"/>
    <s v="DP"/>
    <s v="435"/>
    <s v="0.0480738"/>
    <s v="0.00001098"/>
    <x v="434"/>
    <x v="434"/>
    <x v="418"/>
    <x v="382"/>
    <x v="285"/>
    <x v="400"/>
    <x v="413"/>
    <s v="1507352345"/>
  </r>
  <r>
    <x v="435"/>
    <x v="435"/>
    <s v="WGO"/>
    <s v="436"/>
    <s v="0.073819"/>
    <s v="0.00001686"/>
    <x v="435"/>
    <x v="435"/>
    <x v="419"/>
    <x v="383"/>
    <x v="286"/>
    <x v="401"/>
    <x v="414"/>
    <s v="1507352357"/>
  </r>
  <r>
    <x v="436"/>
    <x v="436"/>
    <s v="BRIT"/>
    <s v="437"/>
    <s v="0.034477"/>
    <s v="0.00000788"/>
    <x v="436"/>
    <x v="436"/>
    <x v="420"/>
    <x v="384"/>
    <x v="222"/>
    <x v="402"/>
    <x v="414"/>
    <s v="1507352344"/>
  </r>
  <r>
    <x v="437"/>
    <x v="437"/>
    <s v="HERO"/>
    <s v="438"/>
    <s v="152.683"/>
    <s v="0.0348828"/>
    <x v="437"/>
    <x v="437"/>
    <x v="421"/>
    <x v="385"/>
    <x v="287"/>
    <x v="403"/>
    <x v="415"/>
    <s v="1507352360"/>
  </r>
  <r>
    <x v="438"/>
    <x v="438"/>
    <s v="XCN"/>
    <s v="439"/>
    <s v="0.00200928"/>
    <s v="0.00000046"/>
    <x v="438"/>
    <x v="438"/>
    <x v="422"/>
    <x v="386"/>
    <x v="288"/>
    <x v="404"/>
    <x v="416"/>
    <s v="1507352345"/>
  </r>
  <r>
    <x v="439"/>
    <x v="439"/>
    <s v="FCN"/>
    <s v="440"/>
    <s v="0.113803"/>
    <s v="0.00002600"/>
    <x v="439"/>
    <x v="439"/>
    <x v="423"/>
    <x v="387"/>
    <x v="289"/>
    <x v="405"/>
    <x v="166"/>
    <s v="1507352343"/>
  </r>
  <r>
    <x v="440"/>
    <x v="440"/>
    <s v="LDOGE"/>
    <s v="441"/>
    <s v="0.0000472099"/>
    <s v="0.00000001"/>
    <x v="440"/>
    <x v="440"/>
    <x v="424"/>
    <x v="388"/>
    <x v="290"/>
    <x v="84"/>
    <x v="417"/>
    <s v="1507352352"/>
  </r>
  <r>
    <x v="441"/>
    <x v="441"/>
    <s v="BTSR"/>
    <s v="442"/>
    <s v="0.212359"/>
    <s v="0.00004852"/>
    <x v="441"/>
    <x v="441"/>
    <x v="425"/>
    <x v="389"/>
    <x v="47"/>
    <x v="406"/>
    <x v="418"/>
    <s v="1507352349"/>
  </r>
  <r>
    <x v="442"/>
    <x v="442"/>
    <s v="PIE"/>
    <s v="443"/>
    <s v="0.0180801"/>
    <s v="0.00000413"/>
    <x v="442"/>
    <x v="442"/>
    <x v="426"/>
    <x v="390"/>
    <x v="9"/>
    <x v="407"/>
    <x v="419"/>
    <s v="1507352355"/>
  </r>
  <r>
    <x v="443"/>
    <x v="443"/>
    <s v="KEK"/>
    <s v="444"/>
    <s v="0.0650429"/>
    <s v="0.00001486"/>
    <x v="443"/>
    <x v="443"/>
    <x v="427"/>
    <x v="391"/>
    <x v="18"/>
    <x v="408"/>
    <x v="420"/>
    <s v="1507352361"/>
  </r>
  <r>
    <x v="444"/>
    <x v="444"/>
    <s v="MEC"/>
    <s v="445"/>
    <s v="0.0182805"/>
    <s v="0.00000418"/>
    <x v="444"/>
    <x v="444"/>
    <x v="428"/>
    <x v="392"/>
    <x v="222"/>
    <x v="409"/>
    <x v="421"/>
    <s v="1507352341"/>
  </r>
  <r>
    <x v="445"/>
    <x v="445"/>
    <s v="UIS"/>
    <s v="446"/>
    <s v="0.0138256"/>
    <s v="0.00000316"/>
    <x v="445"/>
    <x v="445"/>
    <x v="429"/>
    <x v="393"/>
    <x v="291"/>
    <x v="410"/>
    <x v="422"/>
    <s v="1507352347"/>
  </r>
  <r>
    <x v="446"/>
    <x v="446"/>
    <s v="FJC"/>
    <s v="447"/>
    <s v="0.00056899"/>
    <s v="0.00000013"/>
    <x v="446"/>
    <x v="446"/>
    <x v="430"/>
    <x v="394"/>
    <x v="253"/>
    <x v="411"/>
    <x v="423"/>
    <s v="1507352347"/>
  </r>
  <r>
    <x v="447"/>
    <x v="447"/>
    <s v="VSX"/>
    <s v="448"/>
    <s v="0.00642016"/>
    <s v="0.00000147"/>
    <x v="447"/>
    <x v="447"/>
    <x v="431"/>
    <x v="395"/>
    <x v="58"/>
    <x v="412"/>
    <x v="424"/>
    <s v="1507352362"/>
  </r>
  <r>
    <x v="448"/>
    <x v="448"/>
    <s v="BRO"/>
    <s v="449"/>
    <s v="0.109754"/>
    <s v="0.00002507"/>
    <x v="448"/>
    <x v="448"/>
    <x v="432"/>
    <x v="396"/>
    <x v="292"/>
    <x v="413"/>
    <x v="425"/>
    <s v="1507352359"/>
  </r>
  <r>
    <x v="449"/>
    <x v="449"/>
    <s v="UNB"/>
    <s v="450"/>
    <s v="0.271771"/>
    <s v="0.00006209"/>
    <x v="449"/>
    <x v="449"/>
    <x v="433"/>
    <x v="397"/>
    <x v="18"/>
    <x v="414"/>
    <x v="426"/>
    <s v="1507352344"/>
  </r>
  <r>
    <x v="450"/>
    <x v="450"/>
    <s v="SDC"/>
    <s v="451"/>
    <s v="0.0920931"/>
    <s v="0.00002104"/>
    <x v="450"/>
    <x v="450"/>
    <x v="434"/>
    <x v="398"/>
    <x v="18"/>
    <x v="415"/>
    <x v="427"/>
    <s v="1507352344"/>
  </r>
  <r>
    <x v="451"/>
    <x v="451"/>
    <s v="USC"/>
    <s v="452"/>
    <s v="0.0576702"/>
    <s v="0.00001318"/>
    <x v="451"/>
    <x v="451"/>
    <x v="435"/>
    <x v="399"/>
    <x v="18"/>
    <x v="416"/>
    <x v="17"/>
    <s v="1507352356"/>
  </r>
  <r>
    <x v="452"/>
    <x v="452"/>
    <s v="SMC"/>
    <s v="453"/>
    <s v="0.025167"/>
    <s v="0.00000575"/>
    <x v="452"/>
    <x v="452"/>
    <x v="436"/>
    <x v="400"/>
    <x v="293"/>
    <x v="417"/>
    <x v="428"/>
    <s v="1507352342"/>
  </r>
  <r>
    <x v="453"/>
    <x v="453"/>
    <s v="DNR"/>
    <s v="454"/>
    <s v="0.337073"/>
    <s v="0.00007701"/>
    <x v="453"/>
    <x v="453"/>
    <x v="437"/>
    <x v="401"/>
    <x v="294"/>
    <x v="418"/>
    <x v="429"/>
    <s v="1507352359"/>
  </r>
  <r>
    <x v="454"/>
    <x v="454"/>
    <s v="LINX"/>
    <s v="455"/>
    <s v="0.0651981"/>
    <s v="0.00001490"/>
    <x v="454"/>
    <x v="454"/>
    <x v="438"/>
    <x v="402"/>
    <x v="295"/>
    <x v="419"/>
    <x v="430"/>
    <s v="1507352358"/>
  </r>
  <r>
    <x v="455"/>
    <x v="455"/>
    <s v="RIYA"/>
    <s v="456"/>
    <s v="0.333891"/>
    <s v="0.00007628"/>
    <x v="455"/>
    <x v="455"/>
    <x v="439"/>
    <x v="403"/>
    <x v="18"/>
    <x v="420"/>
    <x v="431"/>
    <s v="1507352362"/>
  </r>
  <r>
    <x v="456"/>
    <x v="456"/>
    <s v="SCORE"/>
    <s v="457"/>
    <s v="0.0171214"/>
    <s v="0.00000391"/>
    <x v="456"/>
    <x v="456"/>
    <x v="440"/>
    <x v="404"/>
    <x v="296"/>
    <x v="278"/>
    <x v="432"/>
    <s v="1507352356"/>
  </r>
  <r>
    <x v="457"/>
    <x v="457"/>
    <s v="KRB"/>
    <s v="458"/>
    <s v="0.114845"/>
    <s v="0.00002624"/>
    <x v="457"/>
    <x v="457"/>
    <x v="441"/>
    <x v="405"/>
    <x v="297"/>
    <x v="421"/>
    <x v="433"/>
    <s v="1507352353"/>
  </r>
  <r>
    <x v="458"/>
    <x v="458"/>
    <s v="JET"/>
    <s v="459"/>
    <s v="0.132369"/>
    <s v="0.00003024"/>
    <x v="458"/>
    <x v="458"/>
    <x v="442"/>
    <x v="240"/>
    <x v="298"/>
    <x v="422"/>
    <x v="17"/>
    <s v="1507352359"/>
  </r>
  <r>
    <x v="459"/>
    <x v="459"/>
    <s v="NOBL"/>
    <s v="460"/>
    <s v="0.000218852"/>
    <s v="0.00000005"/>
    <x v="459"/>
    <x v="459"/>
    <x v="443"/>
    <x v="406"/>
    <x v="43"/>
    <x v="423"/>
    <x v="434"/>
    <s v="1507352341"/>
  </r>
  <r>
    <x v="460"/>
    <x v="460"/>
    <s v="PND"/>
    <s v="461"/>
    <s v="0.0000153936"/>
    <s v="0.000000004"/>
    <x v="460"/>
    <x v="460"/>
    <x v="444"/>
    <x v="407"/>
    <x v="299"/>
    <x v="424"/>
    <x v="435"/>
    <s v="1507352342"/>
  </r>
  <r>
    <x v="461"/>
    <x v="461"/>
    <s v="ICE"/>
    <s v="462"/>
    <s v="0.309822"/>
    <s v="0.00007078"/>
    <x v="461"/>
    <x v="461"/>
    <x v="445"/>
    <x v="408"/>
    <x v="300"/>
    <x v="425"/>
    <x v="436"/>
    <s v="1507352358"/>
  </r>
  <r>
    <x v="462"/>
    <x v="462"/>
    <s v="MOIN"/>
    <s v="463"/>
    <s v="0.0668506"/>
    <s v="0.00001527"/>
    <x v="462"/>
    <x v="462"/>
    <x v="446"/>
    <x v="409"/>
    <x v="301"/>
    <x v="426"/>
    <x v="437"/>
    <s v="1507352348"/>
  </r>
  <r>
    <x v="463"/>
    <x v="463"/>
    <s v="DDF"/>
    <s v="464"/>
    <s v="0.0927977"/>
    <s v="0.00002120"/>
    <x v="463"/>
    <x v="463"/>
    <x v="447"/>
    <x v="410"/>
    <x v="302"/>
    <x v="427"/>
    <x v="438"/>
    <s v="1507352361"/>
  </r>
  <r>
    <x v="464"/>
    <x v="464"/>
    <s v="XVP"/>
    <s v="465"/>
    <s v="0.0508102"/>
    <s v="0.00001161"/>
    <x v="464"/>
    <x v="464"/>
    <x v="448"/>
    <x v="411"/>
    <x v="303"/>
    <x v="428"/>
    <x v="439"/>
    <s v="1507352355"/>
  </r>
  <r>
    <x v="465"/>
    <x v="465"/>
    <s v="SUPER"/>
    <s v="466"/>
    <s v="0.010475"/>
    <s v="0.00000239"/>
    <x v="465"/>
    <x v="465"/>
    <x v="449"/>
    <x v="412"/>
    <x v="162"/>
    <x v="429"/>
    <x v="440"/>
    <s v="1507352344"/>
  </r>
  <r>
    <x v="466"/>
    <x v="466"/>
    <s v="MOJO"/>
    <s v="467"/>
    <s v="0.0377985"/>
    <s v="0.00000864"/>
    <x v="466"/>
    <x v="466"/>
    <x v="450"/>
    <x v="413"/>
    <x v="304"/>
    <x v="430"/>
    <x v="441"/>
    <s v="1507352349"/>
  </r>
  <r>
    <x v="467"/>
    <x v="467"/>
    <s v="ZER"/>
    <s v="468"/>
    <s v="0.271377"/>
    <s v="0.00006200"/>
    <x v="467"/>
    <x v="467"/>
    <x v="451"/>
    <x v="414"/>
    <x v="305"/>
    <x v="431"/>
    <x v="442"/>
    <s v="1507352356"/>
  </r>
  <r>
    <x v="468"/>
    <x v="468"/>
    <s v="FAL"/>
    <s v="469"/>
    <s v="2.1858"/>
    <s v="0.00049938"/>
    <x v="468"/>
    <x v="468"/>
    <x v="452"/>
    <x v="415"/>
    <x v="306"/>
    <x v="432"/>
    <x v="443"/>
    <s v="1507352359"/>
  </r>
  <r>
    <x v="469"/>
    <x v="469"/>
    <s v="FIMK"/>
    <s v="470"/>
    <s v="0.000744198"/>
    <s v="0.00000017"/>
    <x v="469"/>
    <x v="469"/>
    <x v="453"/>
    <x v="416"/>
    <x v="307"/>
    <x v="433"/>
    <x v="444"/>
    <s v="1507352344"/>
  </r>
  <r>
    <x v="470"/>
    <x v="470"/>
    <s v="DAXX"/>
    <s v="471"/>
    <s v="0.000871534"/>
    <s v="0.00000020"/>
    <x v="470"/>
    <x v="470"/>
    <x v="454"/>
    <x v="417"/>
    <x v="308"/>
    <x v="434"/>
    <x v="445"/>
    <s v="1507352360"/>
  </r>
  <r>
    <x v="471"/>
    <x v="471"/>
    <s v="XCT"/>
    <s v="472"/>
    <s v="0.00265907"/>
    <s v="0.00000061"/>
    <x v="471"/>
    <x v="471"/>
    <x v="455"/>
    <x v="418"/>
    <x v="309"/>
    <x v="435"/>
    <x v="446"/>
    <s v="1507352348"/>
  </r>
  <r>
    <x v="472"/>
    <x v="472"/>
    <s v="WOMEN"/>
    <s v="473"/>
    <s v="0.0174057"/>
    <s v="0.00000398"/>
    <x v="472"/>
    <x v="472"/>
    <x v="456"/>
    <x v="419"/>
    <x v="310"/>
    <x v="340"/>
    <x v="447"/>
    <s v="1507352359"/>
  </r>
  <r>
    <x v="473"/>
    <x v="473"/>
    <s v="DFT"/>
    <s v="474"/>
    <s v="0.2299"/>
    <s v="0.00005252"/>
    <x v="473"/>
    <x v="473"/>
    <x v="457"/>
    <x v="420"/>
    <x v="311"/>
    <x v="389"/>
    <x v="448"/>
    <s v="1507352347"/>
  </r>
  <r>
    <x v="474"/>
    <x v="447"/>
    <s v="XVS"/>
    <s v="475"/>
    <s v="0.00381478"/>
    <s v="0.00000087"/>
    <x v="474"/>
    <x v="474"/>
    <x v="458"/>
    <x v="421"/>
    <x v="195"/>
    <x v="436"/>
    <x v="449"/>
    <s v="1507352357"/>
  </r>
  <r>
    <x v="475"/>
    <x v="474"/>
    <s v="NEWB"/>
    <s v="476"/>
    <s v="0.00809827"/>
    <s v="0.00000185"/>
    <x v="475"/>
    <x v="475"/>
    <x v="7"/>
    <x v="7"/>
    <x v="211"/>
    <x v="437"/>
    <x v="450"/>
    <s v="1507352350"/>
  </r>
  <r>
    <x v="476"/>
    <x v="475"/>
    <s v="DAS"/>
    <s v="477"/>
    <s v="0.157005"/>
    <s v="0.00003587"/>
    <x v="476"/>
    <x v="476"/>
    <x v="459"/>
    <x v="422"/>
    <x v="73"/>
    <x v="438"/>
    <x v="451"/>
    <s v="1507352360"/>
  </r>
  <r>
    <x v="477"/>
    <x v="476"/>
    <s v="PROC"/>
    <s v="478"/>
    <s v="0.0314991"/>
    <s v="0.00000720"/>
    <x v="477"/>
    <x v="477"/>
    <x v="460"/>
    <x v="423"/>
    <x v="18"/>
    <x v="439"/>
    <x v="452"/>
    <s v="1507352357"/>
  </r>
  <r>
    <x v="478"/>
    <x v="477"/>
    <s v="XCXT"/>
    <s v="479"/>
    <s v="0.0285103"/>
    <s v="0.00000651"/>
    <x v="478"/>
    <x v="478"/>
    <x v="461"/>
    <x v="424"/>
    <x v="174"/>
    <x v="440"/>
    <x v="453"/>
    <s v="1507352361"/>
  </r>
  <r>
    <x v="479"/>
    <x v="478"/>
    <s v="DALC"/>
    <s v="480"/>
    <s v="0.938548"/>
    <s v="0.00021442"/>
    <x v="479"/>
    <x v="479"/>
    <x v="462"/>
    <x v="52"/>
    <x v="312"/>
    <x v="441"/>
    <x v="454"/>
    <s v="1507352362"/>
  </r>
  <r>
    <x v="480"/>
    <x v="479"/>
    <s v="BLOCKPAY"/>
    <s v="481"/>
    <s v="0.0688654"/>
    <s v="0.00001573"/>
    <x v="480"/>
    <x v="480"/>
    <x v="463"/>
    <x v="425"/>
    <x v="313"/>
    <x v="442"/>
    <x v="455"/>
    <s v="1507352351"/>
  </r>
  <r>
    <x v="481"/>
    <x v="480"/>
    <s v="POST"/>
    <s v="482"/>
    <s v="0.0229487"/>
    <s v="0.00000524"/>
    <x v="481"/>
    <x v="481"/>
    <x v="464"/>
    <x v="426"/>
    <x v="314"/>
    <x v="155"/>
    <x v="456"/>
    <s v="1507352349"/>
  </r>
  <r>
    <x v="482"/>
    <x v="481"/>
    <s v="DRACO"/>
    <s v="483"/>
    <s v="0.00407063"/>
    <s v="0.00000093"/>
    <x v="482"/>
    <x v="482"/>
    <x v="465"/>
    <x v="427"/>
    <x v="315"/>
    <x v="443"/>
    <x v="457"/>
    <s v="1507352350"/>
  </r>
  <r>
    <x v="483"/>
    <x v="482"/>
    <s v="XLR"/>
    <s v="484"/>
    <s v="0.679405"/>
    <s v="0.00015522"/>
    <x v="483"/>
    <x v="483"/>
    <x v="466"/>
    <x v="428"/>
    <x v="18"/>
    <x v="444"/>
    <x v="458"/>
    <s v="1507352355"/>
  </r>
  <r>
    <x v="484"/>
    <x v="483"/>
    <s v="PXC"/>
    <s v="485"/>
    <s v="0.00576761"/>
    <s v="0.00000132"/>
    <x v="484"/>
    <x v="484"/>
    <x v="467"/>
    <x v="429"/>
    <x v="316"/>
    <x v="445"/>
    <x v="459"/>
    <s v="1507352340"/>
  </r>
  <r>
    <x v="485"/>
    <x v="484"/>
    <s v="RLT"/>
    <s v="486"/>
    <s v="0.0340183"/>
    <s v="0.00000777"/>
    <x v="485"/>
    <x v="485"/>
    <x v="468"/>
    <x v="430"/>
    <x v="18"/>
    <x v="446"/>
    <x v="460"/>
    <s v="1507352357"/>
  </r>
  <r>
    <x v="486"/>
    <x v="485"/>
    <s v="TRUMP"/>
    <s v="487"/>
    <s v="0.0520824"/>
    <s v="0.00001190"/>
    <x v="486"/>
    <x v="486"/>
    <x v="469"/>
    <x v="431"/>
    <x v="43"/>
    <x v="447"/>
    <x v="461"/>
    <s v="1507352351"/>
  </r>
  <r>
    <x v="487"/>
    <x v="486"/>
    <s v="GCN"/>
    <s v="488"/>
    <s v="0.0000023439"/>
    <s v="0.0000000005"/>
    <x v="487"/>
    <x v="487"/>
    <x v="470"/>
    <x v="432"/>
    <x v="317"/>
    <x v="448"/>
    <x v="462"/>
    <s v="1507352348"/>
  </r>
  <r>
    <x v="488"/>
    <x v="487"/>
    <s v="DEM"/>
    <s v="489"/>
    <s v="0.0122121"/>
    <s v="0.00000279"/>
    <x v="488"/>
    <x v="488"/>
    <x v="471"/>
    <x v="433"/>
    <x v="318"/>
    <x v="449"/>
    <x v="463"/>
    <s v="1507352341"/>
  </r>
  <r>
    <x v="489"/>
    <x v="488"/>
    <s v="FXE"/>
    <s v="490"/>
    <s v="1.37498"/>
    <s v="0.00031414"/>
    <x v="489"/>
    <x v="489"/>
    <x v="472"/>
    <x v="315"/>
    <x v="162"/>
    <x v="450"/>
    <x v="464"/>
    <s v="1507352360"/>
  </r>
  <r>
    <x v="490"/>
    <x v="489"/>
    <s v="TRI"/>
    <s v="491"/>
    <s v="4.41246"/>
    <s v="0.00100809"/>
    <x v="490"/>
    <x v="490"/>
    <x v="473"/>
    <x v="434"/>
    <x v="18"/>
    <x v="451"/>
    <x v="465"/>
    <s v="1507352345"/>
  </r>
  <r>
    <x v="491"/>
    <x v="490"/>
    <s v="ATOM"/>
    <s v="492"/>
    <s v="0.0262132"/>
    <s v="0.00000599"/>
    <x v="491"/>
    <x v="491"/>
    <x v="474"/>
    <x v="435"/>
    <x v="85"/>
    <x v="452"/>
    <x v="466"/>
    <s v="1507352353"/>
  </r>
  <r>
    <x v="492"/>
    <x v="491"/>
    <s v="42"/>
    <s v="493"/>
    <s v="7605.25"/>
    <s v="1.73753"/>
    <x v="492"/>
    <x v="492"/>
    <x v="475"/>
    <x v="436"/>
    <x v="319"/>
    <x v="453"/>
    <x v="467"/>
    <s v="1507352341"/>
  </r>
  <r>
    <x v="493"/>
    <x v="492"/>
    <s v="OHM"/>
    <s v="494"/>
    <s v="0.0109426"/>
    <s v="0.00000250"/>
    <x v="493"/>
    <x v="493"/>
    <x v="476"/>
    <x v="437"/>
    <x v="18"/>
    <x v="272"/>
    <x v="468"/>
    <s v="1507352358"/>
  </r>
  <r>
    <x v="494"/>
    <x v="493"/>
    <s v="XP"/>
    <s v="495"/>
    <s v="0.0000021178"/>
    <s v="0.0000000005"/>
    <x v="494"/>
    <x v="494"/>
    <x v="477"/>
    <x v="438"/>
    <x v="320"/>
    <x v="454"/>
    <x v="469"/>
    <s v="1507352352"/>
  </r>
  <r>
    <x v="495"/>
    <x v="494"/>
    <s v="ENT"/>
    <s v="496"/>
    <s v="0.0773237"/>
    <s v="0.00001767"/>
    <x v="495"/>
    <x v="495"/>
    <x v="478"/>
    <x v="439"/>
    <x v="18"/>
    <x v="455"/>
    <x v="470"/>
    <s v="1507352353"/>
  </r>
  <r>
    <x v="496"/>
    <x v="495"/>
    <s v="ANC"/>
    <s v="497"/>
    <s v="0.145322"/>
    <s v="0.00003320"/>
    <x v="496"/>
    <x v="496"/>
    <x v="479"/>
    <x v="440"/>
    <x v="321"/>
    <x v="456"/>
    <x v="471"/>
    <s v="1507352340"/>
  </r>
  <r>
    <x v="497"/>
    <x v="496"/>
    <s v="RBIES"/>
    <s v="498"/>
    <s v="0.0274003"/>
    <s v="0.00000626"/>
    <x v="497"/>
    <x v="497"/>
    <x v="480"/>
    <x v="441"/>
    <x v="322"/>
    <x v="457"/>
    <x v="472"/>
    <s v="1507352361"/>
  </r>
  <r>
    <x v="498"/>
    <x v="497"/>
    <s v="WYV"/>
    <s v="499"/>
    <s v="0.175126"/>
    <s v="0.00004001"/>
    <x v="498"/>
    <x v="498"/>
    <x v="481"/>
    <x v="442"/>
    <x v="222"/>
    <x v="458"/>
    <x v="473"/>
    <s v="1507352357"/>
  </r>
  <r>
    <x v="499"/>
    <x v="498"/>
    <s v="BITS"/>
    <s v="500"/>
    <s v="0.0118172"/>
    <s v="0.00000270"/>
    <x v="499"/>
    <x v="499"/>
    <x v="482"/>
    <x v="443"/>
    <x v="43"/>
    <x v="459"/>
    <x v="474"/>
    <s v="1507352343"/>
  </r>
  <r>
    <x v="500"/>
    <x v="499"/>
    <s v="BXT"/>
    <s v="501"/>
    <s v="0.434085"/>
    <s v="0.00009917"/>
    <x v="500"/>
    <x v="500"/>
    <x v="483"/>
    <x v="444"/>
    <x v="18"/>
    <x v="460"/>
    <x v="475"/>
    <s v="1507352351"/>
  </r>
  <r>
    <x v="501"/>
    <x v="313"/>
    <s v="HMP"/>
    <s v="502"/>
    <s v="0.000175082"/>
    <s v="0.00000004"/>
    <x v="501"/>
    <x v="501"/>
    <x v="484"/>
    <x v="445"/>
    <x v="18"/>
    <x v="461"/>
    <x v="476"/>
    <s v="1507352348"/>
  </r>
  <r>
    <x v="502"/>
    <x v="500"/>
    <s v="PAK"/>
    <s v="503"/>
    <s v="0.00559689"/>
    <s v="0.00000128"/>
    <x v="502"/>
    <x v="502"/>
    <x v="485"/>
    <x v="446"/>
    <x v="323"/>
    <x v="462"/>
    <x v="477"/>
    <s v="1507352347"/>
  </r>
  <r>
    <x v="503"/>
    <x v="501"/>
    <s v="BITBTC"/>
    <s v="504"/>
    <s v="4510.96"/>
    <s v="1.03059"/>
    <x v="503"/>
    <x v="503"/>
    <x v="486"/>
    <x v="447"/>
    <x v="178"/>
    <x v="463"/>
    <x v="478"/>
    <s v="1507352346"/>
  </r>
  <r>
    <x v="504"/>
    <x v="502"/>
    <s v="XPTX"/>
    <s v="505"/>
    <s v="0.719052"/>
    <s v="0.00016428"/>
    <x v="504"/>
    <x v="504"/>
    <x v="487"/>
    <x v="448"/>
    <x v="103"/>
    <x v="464"/>
    <x v="479"/>
    <s v="1507352350"/>
  </r>
  <r>
    <x v="505"/>
    <x v="503"/>
    <s v="FRN"/>
    <s v="506"/>
    <s v="0.057504"/>
    <s v="0.00001314"/>
    <x v="505"/>
    <x v="505"/>
    <x v="488"/>
    <x v="449"/>
    <x v="176"/>
    <x v="465"/>
    <x v="480"/>
    <s v="1507352348"/>
  </r>
  <r>
    <x v="506"/>
    <x v="504"/>
    <s v="XCS"/>
    <s v="507"/>
    <s v="0.0218852"/>
    <s v="0.00000500"/>
    <x v="506"/>
    <x v="506"/>
    <x v="489"/>
    <x v="450"/>
    <x v="324"/>
    <x v="108"/>
    <x v="17"/>
    <s v="1507352364"/>
  </r>
  <r>
    <x v="507"/>
    <x v="505"/>
    <s v="ITZ"/>
    <s v="508"/>
    <s v="0.370729"/>
    <s v="0.00008470"/>
    <x v="507"/>
    <x v="507"/>
    <x v="490"/>
    <x v="451"/>
    <x v="300"/>
    <x v="466"/>
    <x v="481"/>
    <s v="1507352363"/>
  </r>
  <r>
    <x v="508"/>
    <x v="506"/>
    <s v="CWXT"/>
    <s v="509"/>
    <s v="0.00363027"/>
    <s v="0.00000083"/>
    <x v="508"/>
    <x v="508"/>
    <x v="491"/>
    <x v="452"/>
    <x v="18"/>
    <x v="467"/>
    <x v="482"/>
    <s v="1507352354"/>
  </r>
  <r>
    <x v="509"/>
    <x v="507"/>
    <s v="RUPX"/>
    <s v="510"/>
    <s v="0.0354691"/>
    <s v="0.00000810"/>
    <x v="509"/>
    <x v="509"/>
    <x v="492"/>
    <x v="453"/>
    <x v="325"/>
    <x v="468"/>
    <x v="483"/>
    <s v="1507352361"/>
  </r>
  <r>
    <x v="510"/>
    <x v="508"/>
    <s v="LANA"/>
    <s v="511"/>
    <s v="0.000229092"/>
    <s v="0.00000005"/>
    <x v="510"/>
    <x v="510"/>
    <x v="493"/>
    <x v="454"/>
    <x v="203"/>
    <x v="469"/>
    <x v="484"/>
    <s v="1507352350"/>
  </r>
  <r>
    <x v="511"/>
    <x v="509"/>
    <s v="MAY"/>
    <s v="512"/>
    <s v="0.0083168"/>
    <s v="0.00000190"/>
    <x v="511"/>
    <x v="511"/>
    <x v="494"/>
    <x v="455"/>
    <x v="18"/>
    <x v="470"/>
    <x v="485"/>
    <s v="1507352357"/>
  </r>
  <r>
    <x v="512"/>
    <x v="510"/>
    <s v="VUC"/>
    <s v="513"/>
    <s v="0.0027539"/>
    <s v="0.00000063"/>
    <x v="512"/>
    <x v="512"/>
    <x v="495"/>
    <x v="456"/>
    <x v="326"/>
    <x v="471"/>
    <x v="486"/>
    <s v="1507352360"/>
  </r>
  <r>
    <x v="513"/>
    <x v="511"/>
    <s v="BTPL"/>
    <s v="514"/>
    <s v="0.0296514"/>
    <s v="0.00000677"/>
    <x v="513"/>
    <x v="513"/>
    <x v="496"/>
    <x v="457"/>
    <x v="214"/>
    <x v="472"/>
    <x v="487"/>
    <s v="1507352359"/>
  </r>
  <r>
    <x v="514"/>
    <x v="512"/>
    <s v="UNI"/>
    <s v="515"/>
    <s v="0.0186628"/>
    <s v="0.00000426"/>
    <x v="514"/>
    <x v="514"/>
    <x v="497"/>
    <x v="458"/>
    <x v="327"/>
    <x v="473"/>
    <x v="488"/>
    <s v="1507352356"/>
  </r>
  <r>
    <x v="515"/>
    <x v="513"/>
    <s v="BRIA"/>
    <s v="516"/>
    <s v="0.409295"/>
    <s v="0.00009351"/>
    <x v="515"/>
    <x v="515"/>
    <x v="498"/>
    <x v="459"/>
    <x v="328"/>
    <x v="474"/>
    <x v="489"/>
    <s v="1507352359"/>
  </r>
  <r>
    <x v="516"/>
    <x v="514"/>
    <s v="ZUR"/>
    <s v="517"/>
    <s v="0.00161919"/>
    <s v="0.00000037"/>
    <x v="516"/>
    <x v="516"/>
    <x v="499"/>
    <x v="460"/>
    <x v="329"/>
    <x v="475"/>
    <x v="490"/>
    <s v="1507352350"/>
  </r>
  <r>
    <x v="517"/>
    <x v="515"/>
    <s v="FLAX"/>
    <s v="518"/>
    <s v="0.0243369"/>
    <s v="0.00000556"/>
    <x v="517"/>
    <x v="517"/>
    <x v="500"/>
    <x v="461"/>
    <x v="18"/>
    <x v="476"/>
    <x v="491"/>
    <s v="1507352347"/>
  </r>
  <r>
    <x v="518"/>
    <x v="516"/>
    <s v="EL"/>
    <s v="519"/>
    <s v="0.0119941"/>
    <s v="0.00000274"/>
    <x v="518"/>
    <x v="518"/>
    <x v="501"/>
    <x v="462"/>
    <x v="330"/>
    <x v="43"/>
    <x v="492"/>
    <s v="1507352349"/>
  </r>
  <r>
    <x v="519"/>
    <x v="517"/>
    <s v="REE"/>
    <s v="520"/>
    <s v="0.0000517628"/>
    <s v="0.00000001"/>
    <x v="519"/>
    <x v="519"/>
    <x v="502"/>
    <x v="463"/>
    <x v="331"/>
    <x v="477"/>
    <x v="493"/>
    <s v="1507352351"/>
  </r>
  <r>
    <x v="520"/>
    <x v="518"/>
    <s v="ECO"/>
    <s v="521"/>
    <s v="0.120416"/>
    <s v="0.00002751"/>
    <x v="520"/>
    <x v="520"/>
    <x v="503"/>
    <x v="464"/>
    <x v="332"/>
    <x v="478"/>
    <x v="494"/>
    <s v="1507352358"/>
  </r>
  <r>
    <x v="521"/>
    <x v="519"/>
    <s v="HONEY"/>
    <s v="522"/>
    <s v="0.480481"/>
    <s v="0.00010977"/>
    <x v="521"/>
    <x v="521"/>
    <x v="504"/>
    <x v="465"/>
    <x v="43"/>
    <x v="479"/>
    <x v="284"/>
    <s v="1507352355"/>
  </r>
  <r>
    <x v="522"/>
    <x v="520"/>
    <s v="ACOIN"/>
    <s v="523"/>
    <s v="0.0936373"/>
    <s v="0.00002139"/>
    <x v="522"/>
    <x v="522"/>
    <x v="505"/>
    <x v="466"/>
    <x v="18"/>
    <x v="480"/>
    <x v="495"/>
    <s v="1507352346"/>
  </r>
  <r>
    <x v="523"/>
    <x v="521"/>
    <s v="TSE"/>
    <s v="524"/>
    <s v="0.00125453"/>
    <s v="0.00000029"/>
    <x v="523"/>
    <x v="523"/>
    <x v="506"/>
    <x v="467"/>
    <x v="176"/>
    <x v="481"/>
    <x v="496"/>
    <s v="1507352354"/>
  </r>
  <r>
    <x v="524"/>
    <x v="522"/>
    <s v="CNNC"/>
    <s v="525"/>
    <s v="0.0445019"/>
    <s v="0.00001017"/>
    <x v="524"/>
    <x v="524"/>
    <x v="507"/>
    <x v="468"/>
    <x v="333"/>
    <x v="482"/>
    <x v="497"/>
    <s v="1507352357"/>
  </r>
  <r>
    <x v="525"/>
    <x v="523"/>
    <s v="NDAO"/>
    <s v="526"/>
    <s v="0.612568"/>
    <s v="0.00013995"/>
    <x v="525"/>
    <x v="525"/>
    <x v="508"/>
    <x v="203"/>
    <x v="18"/>
    <x v="483"/>
    <x v="498"/>
    <s v="1507352362"/>
  </r>
  <r>
    <x v="526"/>
    <x v="524"/>
    <s v="GB"/>
    <s v="527"/>
    <s v="0.00697626"/>
    <s v="0.00000159"/>
    <x v="526"/>
    <x v="526"/>
    <x v="509"/>
    <x v="469"/>
    <x v="334"/>
    <x v="484"/>
    <x v="499"/>
    <s v="1507352351"/>
  </r>
  <r>
    <x v="527"/>
    <x v="525"/>
    <s v="BCF"/>
    <s v="528"/>
    <s v="0.0246866"/>
    <s v="0.00000564"/>
    <x v="527"/>
    <x v="527"/>
    <x v="510"/>
    <x v="470"/>
    <x v="107"/>
    <x v="485"/>
    <x v="500"/>
    <s v="1507352347"/>
  </r>
  <r>
    <x v="528"/>
    <x v="526"/>
    <s v="VLTC"/>
    <s v="529"/>
    <s v="0.00338041"/>
    <s v="0.00000077"/>
    <x v="528"/>
    <x v="528"/>
    <x v="511"/>
    <x v="471"/>
    <x v="335"/>
    <x v="486"/>
    <x v="501"/>
    <s v="1507352353"/>
  </r>
  <r>
    <x v="529"/>
    <x v="527"/>
    <s v="YOC"/>
    <s v="530"/>
    <s v="0.000954798"/>
    <s v="0.00000022"/>
    <x v="529"/>
    <x v="529"/>
    <x v="512"/>
    <x v="196"/>
    <x v="249"/>
    <x v="93"/>
    <x v="502"/>
    <s v="1507352348"/>
  </r>
  <r>
    <x v="530"/>
    <x v="528"/>
    <s v="BBP"/>
    <s v="531"/>
    <s v="0.000525246"/>
    <s v="0.00000012"/>
    <x v="530"/>
    <x v="530"/>
    <x v="513"/>
    <x v="472"/>
    <x v="18"/>
    <x v="487"/>
    <x v="247"/>
    <s v="1507352362"/>
  </r>
  <r>
    <x v="531"/>
    <x v="529"/>
    <s v="DRXNE"/>
    <s v="532"/>
    <s v="0.00161931"/>
    <s v="0.00000037"/>
    <x v="531"/>
    <x v="531"/>
    <x v="514"/>
    <x v="473"/>
    <x v="18"/>
    <x v="488"/>
    <x v="503"/>
    <s v="1507352363"/>
  </r>
  <r>
    <x v="532"/>
    <x v="530"/>
    <s v="XCO"/>
    <s v="533"/>
    <s v="0.00788321"/>
    <s v="0.00000180"/>
    <x v="532"/>
    <x v="532"/>
    <x v="515"/>
    <x v="474"/>
    <x v="336"/>
    <x v="489"/>
    <x v="504"/>
    <s v="1507352351"/>
  </r>
  <r>
    <x v="533"/>
    <x v="531"/>
    <s v="BITEUR"/>
    <s v="534"/>
    <s v="1.17966"/>
    <s v="0.00026951"/>
    <x v="533"/>
    <x v="533"/>
    <x v="516"/>
    <x v="475"/>
    <x v="96"/>
    <x v="57"/>
    <x v="505"/>
    <s v="1507352346"/>
  </r>
  <r>
    <x v="534"/>
    <x v="532"/>
    <s v="888"/>
    <s v="535"/>
    <s v="0.00184768"/>
    <s v="0.00000042"/>
    <x v="534"/>
    <x v="534"/>
    <x v="517"/>
    <x v="476"/>
    <x v="337"/>
    <x v="490"/>
    <x v="506"/>
    <s v="1507352342"/>
  </r>
  <r>
    <x v="535"/>
    <x v="533"/>
    <s v="WORM"/>
    <s v="536"/>
    <s v="0.000787869"/>
    <s v="0.00000018"/>
    <x v="535"/>
    <x v="535"/>
    <x v="518"/>
    <x v="477"/>
    <x v="338"/>
    <x v="54"/>
    <x v="507"/>
    <s v="1507352356"/>
  </r>
  <r>
    <x v="536"/>
    <x v="534"/>
    <s v="BIP"/>
    <s v="537"/>
    <s v="0.0519993"/>
    <s v="0.00001188"/>
    <x v="536"/>
    <x v="536"/>
    <x v="519"/>
    <x v="478"/>
    <x v="18"/>
    <x v="491"/>
    <x v="508"/>
    <s v="1507352352"/>
  </r>
  <r>
    <x v="537"/>
    <x v="535"/>
    <s v="XTC"/>
    <s v="538"/>
    <s v="0.00081193"/>
    <s v="0.00000019"/>
    <x v="537"/>
    <x v="537"/>
    <x v="16"/>
    <x v="7"/>
    <x v="156"/>
    <x v="401"/>
    <x v="509"/>
    <s v="1507352344"/>
  </r>
  <r>
    <x v="538"/>
    <x v="536"/>
    <s v="CTO"/>
    <s v="539"/>
    <s v="0.00700328"/>
    <s v="0.00000160"/>
    <x v="538"/>
    <x v="538"/>
    <x v="520"/>
    <x v="479"/>
    <x v="18"/>
    <x v="492"/>
    <x v="510"/>
    <s v="1507352346"/>
  </r>
  <r>
    <x v="539"/>
    <x v="537"/>
    <s v="ARG"/>
    <s v="540"/>
    <s v="0.0096697"/>
    <s v="0.00000221"/>
    <x v="539"/>
    <x v="539"/>
    <x v="521"/>
    <x v="480"/>
    <x v="339"/>
    <x v="493"/>
    <x v="511"/>
    <s v="1507352341"/>
  </r>
  <r>
    <x v="540"/>
    <x v="538"/>
    <s v="CMPCO"/>
    <s v="541"/>
    <s v="0.000529013"/>
    <s v="0.00000012"/>
    <x v="540"/>
    <x v="540"/>
    <x v="522"/>
    <x v="481"/>
    <x v="340"/>
    <x v="494"/>
    <x v="512"/>
    <s v="1507352361"/>
  </r>
  <r>
    <x v="541"/>
    <x v="539"/>
    <s v="GLT"/>
    <s v="542"/>
    <s v="0.00298081"/>
    <s v="0.00000068"/>
    <x v="541"/>
    <x v="541"/>
    <x v="523"/>
    <x v="482"/>
    <x v="18"/>
    <x v="495"/>
    <x v="513"/>
    <s v="1507352358"/>
  </r>
  <r>
    <x v="542"/>
    <x v="540"/>
    <s v="NRO"/>
    <s v="543"/>
    <s v="0.00258246"/>
    <s v="0.00000059"/>
    <x v="542"/>
    <x v="542"/>
    <x v="524"/>
    <x v="483"/>
    <x v="18"/>
    <x v="496"/>
    <x v="514"/>
    <s v="1507352358"/>
  </r>
  <r>
    <x v="543"/>
    <x v="541"/>
    <s v="GPU"/>
    <s v="544"/>
    <s v="0.0015333"/>
    <s v="0.00000035"/>
    <x v="543"/>
    <x v="543"/>
    <x v="525"/>
    <x v="484"/>
    <x v="203"/>
    <x v="497"/>
    <x v="515"/>
    <s v="1507352351"/>
  </r>
  <r>
    <x v="544"/>
    <x v="542"/>
    <s v="ADCN"/>
    <s v="545"/>
    <s v="0.00245115"/>
    <s v="0.00000056"/>
    <x v="544"/>
    <x v="544"/>
    <x v="526"/>
    <x v="196"/>
    <x v="18"/>
    <x v="498"/>
    <x v="516"/>
    <s v="1507352348"/>
  </r>
  <r>
    <x v="545"/>
    <x v="543"/>
    <s v="MSCN"/>
    <s v="546"/>
    <s v="0.00126026"/>
    <s v="0.00000029"/>
    <x v="545"/>
    <x v="545"/>
    <x v="527"/>
    <x v="485"/>
    <x v="341"/>
    <x v="499"/>
    <x v="517"/>
    <s v="1507352354"/>
  </r>
  <r>
    <x v="546"/>
    <x v="544"/>
    <s v="LCP"/>
    <s v="547"/>
    <s v="0.109558"/>
    <s v="0.00002503"/>
    <x v="546"/>
    <x v="546"/>
    <x v="528"/>
    <x v="486"/>
    <x v="18"/>
    <x v="150"/>
    <x v="518"/>
    <s v="1507352343"/>
  </r>
  <r>
    <x v="547"/>
    <x v="545"/>
    <s v="4CHN"/>
    <s v="548"/>
    <s v="0.00758834"/>
    <s v="0.00000173"/>
    <x v="547"/>
    <x v="547"/>
    <x v="529"/>
    <x v="487"/>
    <x v="342"/>
    <x v="500"/>
    <x v="519"/>
    <s v="1507352359"/>
  </r>
  <r>
    <x v="548"/>
    <x v="546"/>
    <s v="BOST"/>
    <s v="549"/>
    <s v="0.00402688"/>
    <s v="0.00000092"/>
    <x v="548"/>
    <x v="548"/>
    <x v="530"/>
    <x v="488"/>
    <x v="18"/>
    <x v="501"/>
    <x v="520"/>
    <s v="1507352343"/>
  </r>
  <r>
    <x v="549"/>
    <x v="547"/>
    <s v="DRS"/>
    <s v="550"/>
    <s v="0.0000875410"/>
    <s v="0.00000002"/>
    <x v="549"/>
    <x v="549"/>
    <x v="531"/>
    <x v="489"/>
    <x v="43"/>
    <x v="502"/>
    <x v="521"/>
    <s v="1507352354"/>
  </r>
  <r>
    <x v="550"/>
    <x v="548"/>
    <s v="BENJI"/>
    <s v="551"/>
    <s v="0.0021658"/>
    <s v="0.00000049"/>
    <x v="550"/>
    <x v="550"/>
    <x v="532"/>
    <x v="490"/>
    <x v="96"/>
    <x v="503"/>
    <x v="522"/>
    <s v="1507352354"/>
  </r>
  <r>
    <x v="551"/>
    <x v="549"/>
    <s v="NEVA"/>
    <s v="552"/>
    <s v="0.0185265"/>
    <s v="0.00000423"/>
    <x v="551"/>
    <x v="551"/>
    <x v="533"/>
    <x v="491"/>
    <x v="44"/>
    <x v="504"/>
    <x v="523"/>
    <s v="1507352348"/>
  </r>
  <r>
    <x v="552"/>
    <x v="550"/>
    <s v="ALTC"/>
    <s v="553"/>
    <s v="0.00131311"/>
    <s v="0.00000030"/>
    <x v="552"/>
    <x v="552"/>
    <x v="534"/>
    <x v="492"/>
    <x v="343"/>
    <x v="505"/>
    <x v="524"/>
    <s v="1507352348"/>
  </r>
  <r>
    <x v="553"/>
    <x v="551"/>
    <s v="WBC"/>
    <s v="554"/>
    <s v="2.18852"/>
    <s v="0.0005"/>
    <x v="553"/>
    <x v="553"/>
    <x v="535"/>
    <x v="493"/>
    <x v="344"/>
    <x v="506"/>
    <x v="525"/>
    <s v="1507352362"/>
  </r>
  <r>
    <x v="554"/>
    <x v="552"/>
    <s v="MAR"/>
    <s v="555"/>
    <s v="0.0305536"/>
    <s v="0.00000698"/>
    <x v="554"/>
    <x v="554"/>
    <x v="536"/>
    <x v="494"/>
    <x v="345"/>
    <x v="507"/>
    <x v="526"/>
    <s v="1507352355"/>
  </r>
  <r>
    <x v="555"/>
    <x v="553"/>
    <s v="ERY"/>
    <s v="556"/>
    <s v="0.00795528"/>
    <s v="0.00000182"/>
    <x v="555"/>
    <x v="555"/>
    <x v="537"/>
    <x v="495"/>
    <x v="18"/>
    <x v="10"/>
    <x v="527"/>
    <s v="1507352355"/>
  </r>
  <r>
    <x v="556"/>
    <x v="554"/>
    <s v="CNC"/>
    <s v="557"/>
    <s v="0.000929241"/>
    <s v="0.00000021"/>
    <x v="556"/>
    <x v="556"/>
    <x v="538"/>
    <x v="496"/>
    <x v="7"/>
    <x v="508"/>
    <x v="528"/>
    <s v="1507352340"/>
  </r>
  <r>
    <x v="557"/>
    <x v="555"/>
    <s v="UET"/>
    <s v="558"/>
    <s v="0.00953773"/>
    <s v="0.00000218"/>
    <x v="557"/>
    <x v="557"/>
    <x v="539"/>
    <x v="497"/>
    <x v="163"/>
    <x v="509"/>
    <x v="529"/>
    <s v="1507352359"/>
  </r>
  <r>
    <x v="558"/>
    <x v="556"/>
    <s v="VRS"/>
    <s v="559"/>
    <s v="0.0000735242"/>
    <s v="0.00000002"/>
    <x v="558"/>
    <x v="558"/>
    <x v="540"/>
    <x v="144"/>
    <x v="346"/>
    <x v="510"/>
    <x v="530"/>
    <s v="1507352353"/>
  </r>
  <r>
    <x v="559"/>
    <x v="557"/>
    <s v="ICON"/>
    <s v="560"/>
    <s v="0.0597905"/>
    <s v="0.00001366"/>
    <x v="559"/>
    <x v="559"/>
    <x v="541"/>
    <x v="498"/>
    <x v="18"/>
    <x v="511"/>
    <x v="531"/>
    <s v="1507352354"/>
  </r>
  <r>
    <x v="560"/>
    <x v="558"/>
    <s v="CTIC2"/>
    <s v="561"/>
    <s v="0.003718"/>
    <s v="0.00000085"/>
    <x v="560"/>
    <x v="560"/>
    <x v="542"/>
    <x v="499"/>
    <x v="347"/>
    <x v="512"/>
    <x v="532"/>
    <s v="1507352360"/>
  </r>
  <r>
    <x v="561"/>
    <x v="559"/>
    <s v="CREVA"/>
    <s v="562"/>
    <s v="0.000837991"/>
    <s v="0.00000019"/>
    <x v="561"/>
    <x v="561"/>
    <x v="543"/>
    <x v="500"/>
    <x v="18"/>
    <x v="513"/>
    <x v="533"/>
    <s v="1507352349"/>
  </r>
  <r>
    <x v="562"/>
    <x v="560"/>
    <s v="ACP"/>
    <s v="563"/>
    <s v="0.00596429"/>
    <s v="0.00000136"/>
    <x v="562"/>
    <x v="562"/>
    <x v="544"/>
    <x v="501"/>
    <x v="18"/>
    <x v="514"/>
    <x v="534"/>
    <s v="1507352347"/>
  </r>
  <r>
    <x v="563"/>
    <x v="561"/>
    <s v="FRAZ"/>
    <s v="564"/>
    <s v="0.00272835"/>
    <s v="0.00000062"/>
    <x v="563"/>
    <x v="563"/>
    <x v="545"/>
    <x v="502"/>
    <x v="195"/>
    <x v="515"/>
    <x v="535"/>
    <s v="1507352362"/>
  </r>
  <r>
    <x v="564"/>
    <x v="562"/>
    <s v="SFC"/>
    <s v="565"/>
    <s v="0.00139329"/>
    <s v="0.00000032"/>
    <x v="564"/>
    <x v="564"/>
    <x v="546"/>
    <x v="503"/>
    <x v="348"/>
    <x v="516"/>
    <x v="536"/>
    <s v="1507352354"/>
  </r>
  <r>
    <x v="565"/>
    <x v="563"/>
    <s v="MGM"/>
    <s v="566"/>
    <s v="0.00455213"/>
    <s v="0.00000104"/>
    <x v="565"/>
    <x v="565"/>
    <x v="547"/>
    <x v="504"/>
    <x v="18"/>
    <x v="517"/>
    <x v="17"/>
    <s v="1507352354"/>
  </r>
  <r>
    <x v="566"/>
    <x v="564"/>
    <s v="LTCU"/>
    <s v="567"/>
    <s v="0.0250607"/>
    <s v="0.00000573"/>
    <x v="566"/>
    <x v="566"/>
    <x v="548"/>
    <x v="505"/>
    <x v="349"/>
    <x v="518"/>
    <x v="537"/>
    <s v="1507352362"/>
  </r>
  <r>
    <x v="567"/>
    <x v="565"/>
    <s v="LIR"/>
    <s v="568"/>
    <s v="0.000437705"/>
    <s v="0.00000010"/>
    <x v="567"/>
    <x v="567"/>
    <x v="549"/>
    <x v="506"/>
    <x v="18"/>
    <x v="519"/>
    <x v="17"/>
    <s v="1507352351"/>
  </r>
  <r>
    <x v="568"/>
    <x v="566"/>
    <s v="NANOX"/>
    <s v="569"/>
    <s v="188213.0"/>
    <s v="43.0"/>
    <x v="568"/>
    <x v="568"/>
    <x v="550"/>
    <x v="507"/>
    <x v="18"/>
    <x v="520"/>
    <x v="538"/>
    <s v="1507352357"/>
  </r>
  <r>
    <x v="569"/>
    <x v="567"/>
    <s v="LBTC"/>
    <s v="570"/>
    <s v="0.00377265"/>
    <s v="0.00000086"/>
    <x v="569"/>
    <x v="569"/>
    <x v="551"/>
    <x v="508"/>
    <x v="350"/>
    <x v="521"/>
    <x v="539"/>
    <s v="1507352360"/>
  </r>
  <r>
    <x v="570"/>
    <x v="568"/>
    <s v="LVPS"/>
    <s v="571"/>
    <s v="0.00722083"/>
    <s v="0.00000165"/>
    <x v="570"/>
    <x v="570"/>
    <x v="552"/>
    <x v="509"/>
    <x v="351"/>
    <x v="522"/>
    <x v="540"/>
    <s v="1507352355"/>
  </r>
  <r>
    <x v="571"/>
    <x v="569"/>
    <s v="EBT"/>
    <s v="572"/>
    <s v="0.00152731"/>
    <s v="0.00000035"/>
    <x v="571"/>
    <x v="571"/>
    <x v="553"/>
    <x v="510"/>
    <x v="352"/>
    <x v="523"/>
    <x v="541"/>
    <s v="1507352356"/>
  </r>
  <r>
    <x v="572"/>
    <x v="570"/>
    <s v="HMC"/>
    <s v="573"/>
    <s v="0.00475585"/>
    <s v="0.00000109"/>
    <x v="572"/>
    <x v="572"/>
    <x v="554"/>
    <x v="511"/>
    <x v="157"/>
    <x v="524"/>
    <x v="542"/>
    <s v="1507352360"/>
  </r>
  <r>
    <x v="573"/>
    <x v="571"/>
    <s v="ULA"/>
    <s v="574"/>
    <s v="0.0180247"/>
    <s v="0.00000412"/>
    <x v="573"/>
    <x v="573"/>
    <x v="555"/>
    <x v="512"/>
    <x v="103"/>
    <x v="14"/>
    <x v="543"/>
    <s v="1507352362"/>
  </r>
  <r>
    <x v="574"/>
    <x v="572"/>
    <s v="DMB"/>
    <s v="575"/>
    <s v="0.00343275"/>
    <s v="0.00000078"/>
    <x v="574"/>
    <x v="574"/>
    <x v="556"/>
    <x v="513"/>
    <x v="353"/>
    <x v="525"/>
    <x v="544"/>
    <s v="1507352358"/>
  </r>
  <r>
    <x v="575"/>
    <x v="573"/>
    <s v="APW"/>
    <s v="576"/>
    <s v="0.0260434"/>
    <s v="0.00000595"/>
    <x v="575"/>
    <x v="575"/>
    <x v="557"/>
    <x v="514"/>
    <x v="354"/>
    <x v="526"/>
    <x v="545"/>
    <s v="1507352361"/>
  </r>
  <r>
    <x v="576"/>
    <x v="574"/>
    <s v="UNITY"/>
    <s v="577"/>
    <s v="33.3913"/>
    <s v="0.00775289"/>
    <x v="576"/>
    <x v="576"/>
    <x v="558"/>
    <x v="515"/>
    <x v="355"/>
    <x v="108"/>
    <x v="546"/>
    <s v="1507209247"/>
  </r>
  <r>
    <x v="577"/>
    <x v="575"/>
    <s v="JINN"/>
    <s v="578"/>
    <s v="163.805"/>
    <s v="0.0377197"/>
    <x v="576"/>
    <x v="577"/>
    <x v="559"/>
    <x v="52"/>
    <x v="355"/>
    <x v="527"/>
    <x v="547"/>
    <s v="1507314549"/>
  </r>
  <r>
    <x v="578"/>
    <x v="576"/>
    <s v="ROUND"/>
    <s v="579"/>
    <s v="0.00667472"/>
    <s v="0.00000160"/>
    <x v="576"/>
    <x v="578"/>
    <x v="560"/>
    <x v="25"/>
    <x v="355"/>
    <x v="108"/>
    <x v="548"/>
    <s v="1507182252"/>
  </r>
  <r>
    <x v="579"/>
    <x v="577"/>
    <s v="ARC"/>
    <s v="580"/>
    <s v="2.15368"/>
    <s v="0.00049204"/>
    <x v="577"/>
    <x v="579"/>
    <x v="561"/>
    <x v="516"/>
    <x v="135"/>
    <x v="202"/>
    <x v="549"/>
    <s v="1507352353"/>
  </r>
  <r>
    <x v="580"/>
    <x v="578"/>
    <s v="BPC"/>
    <s v="581"/>
    <s v="0.0457401"/>
    <s v="0.00001045"/>
    <x v="578"/>
    <x v="580"/>
    <x v="137"/>
    <x v="7"/>
    <x v="18"/>
    <x v="528"/>
    <x v="550"/>
    <s v="1507352354"/>
  </r>
  <r>
    <x v="581"/>
    <x v="579"/>
    <s v="AC"/>
    <s v="582"/>
    <s v="0.00245064"/>
    <s v="0.00000056"/>
    <x v="579"/>
    <x v="581"/>
    <x v="562"/>
    <x v="517"/>
    <x v="356"/>
    <x v="529"/>
    <x v="551"/>
    <s v="1507352344"/>
  </r>
  <r>
    <x v="582"/>
    <x v="580"/>
    <s v="YASH"/>
    <s v="583"/>
    <s v="0.201344"/>
    <s v="0.00004600"/>
    <x v="580"/>
    <x v="582"/>
    <x v="563"/>
    <x v="518"/>
    <x v="18"/>
    <x v="530"/>
    <x v="552"/>
    <s v="1507352354"/>
  </r>
  <r>
    <x v="583"/>
    <x v="581"/>
    <s v="BASH"/>
    <s v="584"/>
    <s v="0.00279775"/>
    <s v="0.00000064"/>
    <x v="581"/>
    <x v="583"/>
    <x v="564"/>
    <x v="519"/>
    <x v="18"/>
    <x v="531"/>
    <x v="553"/>
    <s v="1507352362"/>
  </r>
  <r>
    <x v="584"/>
    <x v="582"/>
    <s v="QRK"/>
    <s v="585"/>
    <s v="0.00671388"/>
    <s v="0.00000153"/>
    <x v="582"/>
    <x v="584"/>
    <x v="565"/>
    <x v="520"/>
    <x v="154"/>
    <x v="532"/>
    <x v="554"/>
    <s v="1507352341"/>
  </r>
  <r>
    <x v="585"/>
    <x v="583"/>
    <s v="ICOO"/>
    <s v="586"/>
    <s v="3.5239"/>
    <s v="0.00080508"/>
    <x v="583"/>
    <x v="585"/>
    <x v="566"/>
    <x v="521"/>
    <x v="357"/>
    <x v="533"/>
    <x v="555"/>
    <s v="1507352350"/>
  </r>
  <r>
    <x v="586"/>
    <x v="584"/>
    <s v="INPAY"/>
    <s v="587"/>
    <s v="0.154291"/>
    <s v="0.00003525"/>
    <x v="584"/>
    <x v="586"/>
    <x v="208"/>
    <x v="45"/>
    <x v="18"/>
    <x v="534"/>
    <x v="556"/>
    <s v="1507352356"/>
  </r>
  <r>
    <x v="587"/>
    <x v="585"/>
    <s v="CBX"/>
    <s v="588"/>
    <s v="1.53091"/>
    <s v="0.00034976"/>
    <x v="585"/>
    <x v="587"/>
    <x v="567"/>
    <x v="522"/>
    <x v="18"/>
    <x v="535"/>
    <x v="557"/>
    <s v="1507352340"/>
  </r>
  <r>
    <x v="588"/>
    <x v="586"/>
    <s v="EAC"/>
    <s v="589"/>
    <s v="0.000133042"/>
    <s v="0.00000003"/>
    <x v="586"/>
    <x v="588"/>
    <x v="568"/>
    <x v="523"/>
    <x v="203"/>
    <x v="536"/>
    <x v="528"/>
    <s v="1507352341"/>
  </r>
  <r>
    <x v="589"/>
    <x v="587"/>
    <s v="IXC"/>
    <s v="590"/>
    <s v="0.065611"/>
    <s v="0.00001499"/>
    <x v="587"/>
    <x v="589"/>
    <x v="569"/>
    <x v="524"/>
    <x v="358"/>
    <x v="537"/>
    <x v="558"/>
    <s v="1507352340"/>
  </r>
  <r>
    <x v="590"/>
    <x v="588"/>
    <s v="IFC"/>
    <s v="591"/>
    <s v="0.0000151423"/>
    <s v="0.000000003"/>
    <x v="588"/>
    <x v="590"/>
    <x v="570"/>
    <x v="525"/>
    <x v="359"/>
    <x v="538"/>
    <x v="559"/>
    <s v="1507352341"/>
  </r>
  <r>
    <x v="591"/>
    <x v="589"/>
    <s v="ADC"/>
    <s v="592"/>
    <s v="0.00159036"/>
    <s v="0.00000036"/>
    <x v="589"/>
    <x v="591"/>
    <x v="571"/>
    <x v="526"/>
    <x v="54"/>
    <x v="539"/>
    <x v="143"/>
    <s v="1507352346"/>
  </r>
  <r>
    <x v="592"/>
    <x v="590"/>
    <s v="ALT"/>
    <s v="593"/>
    <s v="9.4379"/>
    <s v="0.00215622"/>
    <x v="590"/>
    <x v="592"/>
    <x v="572"/>
    <x v="527"/>
    <x v="102"/>
    <x v="540"/>
    <x v="560"/>
    <s v="1507352357"/>
  </r>
  <r>
    <x v="593"/>
    <x v="591"/>
    <s v="CAGE"/>
    <s v="594"/>
    <s v="0.0000109885"/>
    <s v="0.000000003"/>
    <x v="591"/>
    <x v="593"/>
    <x v="573"/>
    <x v="528"/>
    <x v="14"/>
    <x v="541"/>
    <x v="561"/>
    <s v="1507352342"/>
  </r>
  <r>
    <x v="594"/>
    <x v="592"/>
    <s v="NKA"/>
    <s v="595"/>
    <s v="0.000101922"/>
    <s v="0.00000002"/>
    <x v="592"/>
    <x v="594"/>
    <x v="574"/>
    <x v="529"/>
    <x v="360"/>
    <x v="542"/>
    <x v="562"/>
    <s v="1507352345"/>
  </r>
  <r>
    <x v="595"/>
    <x v="593"/>
    <s v="CRYPT"/>
    <s v="596"/>
    <s v="0.165759"/>
    <s v="0.00003787"/>
    <x v="593"/>
    <x v="595"/>
    <x v="575"/>
    <x v="530"/>
    <x v="18"/>
    <x v="108"/>
    <x v="563"/>
    <s v="1507352344"/>
  </r>
  <r>
    <x v="596"/>
    <x v="594"/>
    <s v="HTC"/>
    <s v="597"/>
    <s v="0.0000875410"/>
    <s v="0.00000002"/>
    <x v="594"/>
    <x v="596"/>
    <x v="576"/>
    <x v="531"/>
    <x v="18"/>
    <x v="543"/>
    <x v="564"/>
    <s v="1507352363"/>
  </r>
  <r>
    <x v="597"/>
    <x v="595"/>
    <s v="MAX"/>
    <s v="598"/>
    <s v="0.0135251"/>
    <s v="0.00000309"/>
    <x v="595"/>
    <x v="597"/>
    <x v="577"/>
    <x v="532"/>
    <x v="18"/>
    <x v="544"/>
    <x v="565"/>
    <s v="1507352342"/>
  </r>
  <r>
    <x v="598"/>
    <x v="596"/>
    <s v="RUSTBITS"/>
    <s v="599"/>
    <s v="0.0226236"/>
    <s v="0.00000536"/>
    <x v="576"/>
    <x v="598"/>
    <x v="578"/>
    <x v="7"/>
    <x v="355"/>
    <x v="108"/>
    <x v="566"/>
    <s v="1507153762"/>
  </r>
  <r>
    <x v="599"/>
    <x v="597"/>
    <s v="EMP"/>
    <s v="600"/>
    <s v="0.0799171"/>
    <s v="0.00001826"/>
    <x v="596"/>
    <x v="599"/>
    <x v="579"/>
    <x v="533"/>
    <x v="361"/>
    <x v="545"/>
    <x v="567"/>
    <s v="1507352358"/>
  </r>
  <r>
    <x v="600"/>
    <x v="598"/>
    <s v="MBI"/>
    <s v="601"/>
    <s v="0.0430983"/>
    <s v="0.00000985"/>
    <x v="597"/>
    <x v="600"/>
    <x v="580"/>
    <x v="534"/>
    <x v="155"/>
    <x v="546"/>
    <x v="568"/>
    <s v="1507352362"/>
  </r>
  <r>
    <x v="601"/>
    <x v="599"/>
    <s v="ITI"/>
    <s v="602"/>
    <s v="22.3053"/>
    <s v="0.00509597"/>
    <x v="598"/>
    <x v="601"/>
    <x v="581"/>
    <x v="535"/>
    <x v="362"/>
    <x v="547"/>
    <x v="569"/>
    <s v="1507352357"/>
  </r>
  <r>
    <x v="602"/>
    <x v="600"/>
    <s v="AHT"/>
    <s v="603"/>
    <s v="0.087541"/>
    <s v="0.00002000"/>
    <x v="599"/>
    <x v="602"/>
    <x v="582"/>
    <x v="7"/>
    <x v="18"/>
    <x v="548"/>
    <x v="570"/>
    <s v="1507352363"/>
  </r>
  <r>
    <x v="603"/>
    <x v="601"/>
    <s v="TES"/>
    <s v="604"/>
    <s v="0.00949819"/>
    <s v="0.00000217"/>
    <x v="600"/>
    <x v="603"/>
    <x v="583"/>
    <x v="536"/>
    <x v="18"/>
    <x v="549"/>
    <x v="571"/>
    <s v="1507352342"/>
  </r>
  <r>
    <x v="604"/>
    <x v="602"/>
    <s v="GRE"/>
    <s v="605"/>
    <s v="0.000202617"/>
    <s v="0.00000005"/>
    <x v="601"/>
    <x v="604"/>
    <x v="584"/>
    <x v="537"/>
    <x v="43"/>
    <x v="550"/>
    <x v="572"/>
    <s v="1507352344"/>
  </r>
  <r>
    <x v="605"/>
    <x v="603"/>
    <s v="ZET"/>
    <s v="606"/>
    <s v="0.00404512"/>
    <s v="0.00000092"/>
    <x v="602"/>
    <x v="605"/>
    <x v="585"/>
    <x v="538"/>
    <x v="363"/>
    <x v="551"/>
    <x v="573"/>
    <s v="1507352340"/>
  </r>
  <r>
    <x v="606"/>
    <x v="604"/>
    <s v="CARBON"/>
    <s v="607"/>
    <s v="0.0000437705"/>
    <s v="0.00000001"/>
    <x v="603"/>
    <x v="606"/>
    <x v="586"/>
    <x v="539"/>
    <x v="355"/>
    <x v="543"/>
    <x v="574"/>
    <s v="1507352345"/>
  </r>
  <r>
    <x v="607"/>
    <x v="605"/>
    <s v="TOKEN"/>
    <s v="608"/>
    <s v="0.0000435624"/>
    <s v="0.000000010"/>
    <x v="604"/>
    <x v="607"/>
    <x v="587"/>
    <x v="540"/>
    <x v="43"/>
    <x v="285"/>
    <x v="575"/>
    <s v="1507352352"/>
  </r>
  <r>
    <x v="608"/>
    <x v="606"/>
    <s v="FNC"/>
    <s v="609"/>
    <s v="0.0501486"/>
    <s v="0.00001146"/>
    <x v="605"/>
    <x v="608"/>
    <x v="588"/>
    <x v="541"/>
    <x v="364"/>
    <x v="552"/>
    <x v="576"/>
    <s v="1507352359"/>
  </r>
  <r>
    <x v="609"/>
    <x v="607"/>
    <s v="UFO"/>
    <s v="610"/>
    <s v="0.000175082"/>
    <s v="0.00000004"/>
    <x v="606"/>
    <x v="609"/>
    <x v="589"/>
    <x v="542"/>
    <x v="18"/>
    <x v="553"/>
    <x v="577"/>
    <s v="1507352342"/>
  </r>
  <r>
    <x v="610"/>
    <x v="608"/>
    <s v="E4ROW"/>
    <s v="611"/>
    <s v="0.142395"/>
    <s v="0.00003221"/>
    <x v="576"/>
    <x v="610"/>
    <x v="590"/>
    <x v="543"/>
    <x v="355"/>
    <x v="108"/>
    <x v="237"/>
    <s v="1506905959"/>
  </r>
  <r>
    <x v="611"/>
    <x v="609"/>
    <s v="METAL"/>
    <s v="612"/>
    <s v="0.00713459"/>
    <s v="0.00000163"/>
    <x v="607"/>
    <x v="611"/>
    <x v="591"/>
    <x v="544"/>
    <x v="43"/>
    <x v="194"/>
    <x v="578"/>
    <s v="1507352345"/>
  </r>
  <r>
    <x v="612"/>
    <x v="610"/>
    <s v="CDN"/>
    <s v="613"/>
    <s v="0.00551579"/>
    <s v="0.00000126"/>
    <x v="608"/>
    <x v="612"/>
    <x v="592"/>
    <x v="545"/>
    <x v="365"/>
    <x v="554"/>
    <x v="48"/>
    <s v="1507352343"/>
  </r>
  <r>
    <x v="613"/>
    <x v="611"/>
    <s v="RC"/>
    <s v="614"/>
    <s v="0.0642113"/>
    <s v="0.00001467"/>
    <x v="609"/>
    <x v="613"/>
    <x v="593"/>
    <x v="546"/>
    <x v="18"/>
    <x v="555"/>
    <x v="579"/>
    <s v="1507352361"/>
  </r>
  <r>
    <x v="614"/>
    <x v="612"/>
    <s v="GOOD"/>
    <s v="615"/>
    <s v="0.00106359"/>
    <s v="0.00000024"/>
    <x v="610"/>
    <x v="614"/>
    <x v="594"/>
    <x v="547"/>
    <x v="366"/>
    <x v="556"/>
    <x v="580"/>
    <s v="1507352359"/>
  </r>
  <r>
    <x v="615"/>
    <x v="613"/>
    <s v="NET"/>
    <s v="616"/>
    <s v="0.000589118"/>
    <s v="0.00000013"/>
    <x v="611"/>
    <x v="615"/>
    <x v="595"/>
    <x v="548"/>
    <x v="367"/>
    <x v="557"/>
    <x v="581"/>
    <s v="1507352341"/>
  </r>
  <r>
    <x v="616"/>
    <x v="614"/>
    <s v="DSH"/>
    <s v="617"/>
    <s v="0.025887"/>
    <s v="0.00000591"/>
    <x v="612"/>
    <x v="616"/>
    <x v="596"/>
    <x v="549"/>
    <x v="366"/>
    <x v="558"/>
    <x v="582"/>
    <s v="1507352350"/>
  </r>
  <r>
    <x v="617"/>
    <x v="615"/>
    <s v="TALK"/>
    <s v="618"/>
    <s v="0.00675042"/>
    <s v="0.00000154"/>
    <x v="613"/>
    <x v="617"/>
    <x v="597"/>
    <x v="550"/>
    <x v="201"/>
    <x v="559"/>
    <x v="583"/>
    <s v="1507352343"/>
  </r>
  <r>
    <x v="618"/>
    <x v="616"/>
    <s v="BITZ"/>
    <s v="619"/>
    <s v="0.219926"/>
    <s v="0.00005116"/>
    <x v="576"/>
    <x v="618"/>
    <x v="598"/>
    <x v="551"/>
    <x v="355"/>
    <x v="108"/>
    <x v="584"/>
    <s v="1507106361"/>
  </r>
  <r>
    <x v="619"/>
    <x v="617"/>
    <s v="FC2"/>
    <s v="620"/>
    <s v="0.00428951"/>
    <s v="0.00000098"/>
    <x v="614"/>
    <x v="619"/>
    <x v="599"/>
    <x v="552"/>
    <x v="18"/>
    <x v="94"/>
    <x v="585"/>
    <s v="1507352343"/>
  </r>
  <r>
    <x v="620"/>
    <x v="618"/>
    <s v="DVC"/>
    <s v="621"/>
    <s v="0.0000281360"/>
    <s v="0.000000006"/>
    <x v="615"/>
    <x v="620"/>
    <x v="600"/>
    <x v="553"/>
    <x v="368"/>
    <x v="560"/>
    <x v="586"/>
    <s v="1507352340"/>
  </r>
  <r>
    <x v="621"/>
    <x v="619"/>
    <s v="UTC"/>
    <s v="622"/>
    <s v="0.00932311"/>
    <s v="0.00000213"/>
    <x v="616"/>
    <x v="621"/>
    <x v="601"/>
    <x v="554"/>
    <x v="73"/>
    <x v="561"/>
    <x v="587"/>
    <s v="1507352342"/>
  </r>
  <r>
    <x v="622"/>
    <x v="620"/>
    <s v="MZC"/>
    <s v="623"/>
    <s v="0.000305741"/>
    <s v="0.00000007"/>
    <x v="617"/>
    <x v="622"/>
    <x v="602"/>
    <x v="555"/>
    <x v="369"/>
    <x v="562"/>
    <x v="588"/>
    <s v="1507352342"/>
  </r>
  <r>
    <x v="623"/>
    <x v="621"/>
    <s v="KOBO"/>
    <s v="624"/>
    <s v="0.0156698"/>
    <s v="0.00000358"/>
    <x v="618"/>
    <x v="623"/>
    <x v="603"/>
    <x v="556"/>
    <x v="43"/>
    <x v="563"/>
    <x v="355"/>
    <s v="1507352345"/>
  </r>
  <r>
    <x v="624"/>
    <x v="622"/>
    <s v="TAG"/>
    <s v="625"/>
    <s v="0.0658308"/>
    <s v="0.00001504"/>
    <x v="619"/>
    <x v="624"/>
    <x v="604"/>
    <x v="557"/>
    <x v="18"/>
    <x v="564"/>
    <x v="589"/>
    <s v="1507352342"/>
  </r>
  <r>
    <x v="625"/>
    <x v="623"/>
    <s v="NYC"/>
    <s v="626"/>
    <s v="0.0000028726"/>
    <s v="0.0000000007"/>
    <x v="620"/>
    <x v="625"/>
    <x v="605"/>
    <x v="558"/>
    <x v="370"/>
    <x v="565"/>
    <x v="590"/>
    <s v="1507352343"/>
  </r>
  <r>
    <x v="626"/>
    <x v="624"/>
    <s v="GLC"/>
    <s v="627"/>
    <s v="0.00555885"/>
    <s v="0.00000127"/>
    <x v="621"/>
    <x v="626"/>
    <x v="606"/>
    <x v="559"/>
    <x v="43"/>
    <x v="566"/>
    <x v="591"/>
    <s v="1507352340"/>
  </r>
  <r>
    <x v="627"/>
    <x v="625"/>
    <s v="TROLL"/>
    <s v="628"/>
    <s v="0.000629075"/>
    <s v="0.00000014"/>
    <x v="622"/>
    <x v="627"/>
    <x v="607"/>
    <x v="560"/>
    <x v="2"/>
    <x v="567"/>
    <x v="592"/>
    <s v="1507352345"/>
  </r>
  <r>
    <x v="628"/>
    <x v="626"/>
    <s v="MAC"/>
    <s v="629"/>
    <s v="0.0176829"/>
    <s v="0.00000404"/>
    <x v="623"/>
    <x v="628"/>
    <x v="608"/>
    <x v="561"/>
    <x v="103"/>
    <x v="568"/>
    <x v="593"/>
    <s v="1507352345"/>
  </r>
  <r>
    <x v="629"/>
    <x v="627"/>
    <s v="VLT"/>
    <s v="630"/>
    <s v="0.615325"/>
    <s v="0.00014058"/>
    <x v="624"/>
    <x v="629"/>
    <x v="609"/>
    <x v="562"/>
    <x v="18"/>
    <x v="569"/>
    <x v="594"/>
    <s v="1507352354"/>
  </r>
  <r>
    <x v="630"/>
    <x v="628"/>
    <s v="AMBER"/>
    <s v="631"/>
    <s v="0.0077036"/>
    <s v="0.00000176"/>
    <x v="625"/>
    <x v="630"/>
    <x v="610"/>
    <x v="563"/>
    <x v="43"/>
    <x v="108"/>
    <x v="595"/>
    <s v="1507352345"/>
  </r>
  <r>
    <x v="631"/>
    <x v="629"/>
    <s v="SHDW"/>
    <s v="632"/>
    <s v="0.0477098"/>
    <s v="0.00001090"/>
    <x v="626"/>
    <x v="631"/>
    <x v="611"/>
    <x v="45"/>
    <x v="18"/>
    <x v="570"/>
    <x v="596"/>
    <s v="1507352361"/>
  </r>
  <r>
    <x v="632"/>
    <x v="630"/>
    <s v="XPY"/>
    <s v="633"/>
    <s v="0.0269003"/>
    <s v="0.00000615"/>
    <x v="627"/>
    <x v="632"/>
    <x v="612"/>
    <x v="564"/>
    <x v="214"/>
    <x v="571"/>
    <x v="597"/>
    <s v="1507352349"/>
  </r>
  <r>
    <x v="633"/>
    <x v="631"/>
    <s v="ORB"/>
    <s v="634"/>
    <s v="0.104171"/>
    <s v="0.00002380"/>
    <x v="628"/>
    <x v="633"/>
    <x v="613"/>
    <x v="565"/>
    <x v="371"/>
    <x v="572"/>
    <x v="598"/>
    <s v="1507352341"/>
  </r>
  <r>
    <x v="634"/>
    <x v="632"/>
    <s v="HBN"/>
    <s v="635"/>
    <s v="0.00525246"/>
    <s v="0.00000120"/>
    <x v="629"/>
    <x v="634"/>
    <x v="614"/>
    <x v="566"/>
    <x v="372"/>
    <x v="573"/>
    <x v="599"/>
    <s v="1507352341"/>
  </r>
  <r>
    <x v="635"/>
    <x v="633"/>
    <s v="BTB"/>
    <s v="636"/>
    <s v="8.7541"/>
    <s v="0.002"/>
    <x v="630"/>
    <x v="635"/>
    <x v="615"/>
    <x v="567"/>
    <x v="43"/>
    <x v="118"/>
    <x v="600"/>
    <s v="1507352340"/>
  </r>
  <r>
    <x v="636"/>
    <x v="634"/>
    <s v="V"/>
    <s v="637"/>
    <s v="0.000656557"/>
    <s v="0.00000015"/>
    <x v="631"/>
    <x v="636"/>
    <x v="616"/>
    <x v="568"/>
    <x v="18"/>
    <x v="574"/>
    <x v="601"/>
    <s v="1507352357"/>
  </r>
  <r>
    <x v="637"/>
    <x v="635"/>
    <s v="PR"/>
    <s v="638"/>
    <s v="1.53901"/>
    <s v="0.00035161"/>
    <x v="632"/>
    <x v="637"/>
    <x v="617"/>
    <x v="569"/>
    <x v="18"/>
    <x v="575"/>
    <x v="602"/>
    <s v="1507352347"/>
  </r>
  <r>
    <x v="638"/>
    <x v="636"/>
    <s v="PIGGY"/>
    <s v="639"/>
    <s v="0.000601055"/>
    <s v="0.00000014"/>
    <x v="633"/>
    <x v="638"/>
    <x v="618"/>
    <x v="570"/>
    <x v="373"/>
    <x v="576"/>
    <x v="603"/>
    <s v="1507352344"/>
  </r>
  <r>
    <x v="639"/>
    <x v="637"/>
    <s v="I0C"/>
    <s v="640"/>
    <s v="0.0134813"/>
    <s v="0.00000308"/>
    <x v="634"/>
    <x v="639"/>
    <x v="619"/>
    <x v="571"/>
    <x v="18"/>
    <x v="577"/>
    <x v="604"/>
    <s v="1507352359"/>
  </r>
  <r>
    <x v="640"/>
    <x v="638"/>
    <s v="8BIT"/>
    <s v="641"/>
    <s v="0.238883"/>
    <s v="0.00005458"/>
    <x v="635"/>
    <x v="640"/>
    <x v="620"/>
    <x v="572"/>
    <x v="260"/>
    <x v="578"/>
    <x v="605"/>
    <s v="1507352359"/>
  </r>
  <r>
    <x v="641"/>
    <x v="639"/>
    <s v="CFT"/>
    <s v="642"/>
    <s v="0.00601085"/>
    <s v="0.00000137"/>
    <x v="636"/>
    <x v="641"/>
    <x v="621"/>
    <x v="231"/>
    <x v="18"/>
    <x v="579"/>
    <x v="606"/>
    <s v="1507352358"/>
  </r>
  <r>
    <x v="642"/>
    <x v="640"/>
    <s v="TIT"/>
    <s v="643"/>
    <s v="0.00529421"/>
    <s v="0.00000121"/>
    <x v="637"/>
    <x v="642"/>
    <x v="622"/>
    <x v="573"/>
    <x v="43"/>
    <x v="580"/>
    <x v="607"/>
    <s v="1507352349"/>
  </r>
  <r>
    <x v="643"/>
    <x v="641"/>
    <s v="CASINO"/>
    <s v="644"/>
    <s v="0.255942"/>
    <s v="0.00005847"/>
    <x v="638"/>
    <x v="643"/>
    <x v="623"/>
    <x v="52"/>
    <x v="290"/>
    <x v="581"/>
    <x v="608"/>
    <s v="1507352355"/>
  </r>
  <r>
    <x v="644"/>
    <x v="642"/>
    <s v="CCN"/>
    <s v="645"/>
    <s v="0.0531718"/>
    <s v="0.00001211"/>
    <x v="576"/>
    <x v="644"/>
    <x v="624"/>
    <x v="574"/>
    <x v="355"/>
    <x v="582"/>
    <x v="609"/>
    <s v="1507305844"/>
  </r>
  <r>
    <x v="645"/>
    <x v="643"/>
    <s v="FUNC"/>
    <s v="646"/>
    <s v="0.0408085"/>
    <s v="0.00000932"/>
    <x v="639"/>
    <x v="645"/>
    <x v="625"/>
    <x v="7"/>
    <x v="222"/>
    <x v="583"/>
    <x v="610"/>
    <s v="1507352357"/>
  </r>
  <r>
    <x v="646"/>
    <x v="644"/>
    <s v="KRS"/>
    <s v="647"/>
    <s v="0.00937655"/>
    <s v="0.00000218"/>
    <x v="576"/>
    <x v="646"/>
    <x v="626"/>
    <x v="575"/>
    <x v="355"/>
    <x v="108"/>
    <x v="611"/>
    <s v="1506849264"/>
  </r>
  <r>
    <x v="647"/>
    <x v="645"/>
    <s v="GAIA"/>
    <s v="648"/>
    <s v="0.00959193"/>
    <s v="0.00000221"/>
    <x v="576"/>
    <x v="647"/>
    <x v="627"/>
    <x v="576"/>
    <x v="355"/>
    <x v="584"/>
    <x v="612"/>
    <s v="1507319645"/>
  </r>
  <r>
    <x v="648"/>
    <x v="646"/>
    <s v="UNIC"/>
    <s v="649"/>
    <s v="0.0781329"/>
    <s v="0.00001785"/>
    <x v="640"/>
    <x v="648"/>
    <x v="628"/>
    <x v="577"/>
    <x v="203"/>
    <x v="585"/>
    <x v="17"/>
    <s v="1507352349"/>
  </r>
  <r>
    <x v="649"/>
    <x v="647"/>
    <s v="BAS"/>
    <s v="650"/>
    <s v="0.0457167"/>
    <s v="0.00001044"/>
    <x v="641"/>
    <x v="649"/>
    <x v="629"/>
    <x v="229"/>
    <x v="128"/>
    <x v="586"/>
    <x v="613"/>
    <s v="1507352361"/>
  </r>
  <r>
    <x v="650"/>
    <x v="648"/>
    <s v="AU"/>
    <s v="651"/>
    <s v="0.74226"/>
    <s v="0.00016958"/>
    <x v="642"/>
    <x v="650"/>
    <x v="630"/>
    <x v="578"/>
    <x v="18"/>
    <x v="587"/>
    <x v="614"/>
    <s v="1507352345"/>
  </r>
  <r>
    <x v="651"/>
    <x v="649"/>
    <s v="FLY"/>
    <s v="652"/>
    <s v="1.00865"/>
    <s v="0.00023044"/>
    <x v="643"/>
    <x v="651"/>
    <x v="631"/>
    <x v="579"/>
    <x v="18"/>
    <x v="108"/>
    <x v="17"/>
    <s v="1507352347"/>
  </r>
  <r>
    <x v="652"/>
    <x v="650"/>
    <s v="FLT"/>
    <s v="653"/>
    <s v="0.000654398"/>
    <s v="0.00000015"/>
    <x v="644"/>
    <x v="652"/>
    <x v="632"/>
    <x v="580"/>
    <x v="44"/>
    <x v="588"/>
    <x v="615"/>
    <s v="1507352342"/>
  </r>
  <r>
    <x v="653"/>
    <x v="651"/>
    <s v="SWING"/>
    <s v="654"/>
    <s v="0.0799576"/>
    <s v="0.00001827"/>
    <x v="645"/>
    <x v="653"/>
    <x v="633"/>
    <x v="581"/>
    <x v="374"/>
    <x v="589"/>
    <x v="616"/>
    <s v="1507352348"/>
  </r>
  <r>
    <x v="654"/>
    <x v="652"/>
    <s v="COXST"/>
    <s v="655"/>
    <s v="0.00756607"/>
    <s v="0.00000172"/>
    <x v="576"/>
    <x v="654"/>
    <x v="634"/>
    <x v="582"/>
    <x v="355"/>
    <x v="590"/>
    <x v="617"/>
    <s v="1507295051"/>
  </r>
  <r>
    <x v="655"/>
    <x v="653"/>
    <s v="ECA"/>
    <s v="656"/>
    <s v="0.0000099087"/>
    <s v="0.000000002"/>
    <x v="646"/>
    <x v="655"/>
    <x v="635"/>
    <x v="583"/>
    <x v="375"/>
    <x v="591"/>
    <x v="618"/>
    <s v="1507352358"/>
  </r>
  <r>
    <x v="656"/>
    <x v="654"/>
    <s v="STS"/>
    <s v="657"/>
    <s v="0.000350164"/>
    <s v="0.00000008"/>
    <x v="647"/>
    <x v="656"/>
    <x v="636"/>
    <x v="584"/>
    <x v="18"/>
    <x v="194"/>
    <x v="619"/>
    <s v="1507352349"/>
  </r>
  <r>
    <x v="657"/>
    <x v="655"/>
    <s v="TRK"/>
    <s v="658"/>
    <s v="0.00135292"/>
    <s v="0.00000031"/>
    <x v="648"/>
    <x v="657"/>
    <x v="637"/>
    <x v="585"/>
    <x v="376"/>
    <x v="592"/>
    <x v="620"/>
    <s v="1507352345"/>
  </r>
  <r>
    <x v="658"/>
    <x v="656"/>
    <s v="XRA"/>
    <s v="659"/>
    <s v="0.0017051"/>
    <s v="0.00000039"/>
    <x v="649"/>
    <x v="658"/>
    <x v="638"/>
    <x v="586"/>
    <x v="377"/>
    <x v="593"/>
    <x v="621"/>
    <s v="1507352347"/>
  </r>
  <r>
    <x v="659"/>
    <x v="657"/>
    <s v="BTCS"/>
    <s v="660"/>
    <s v="0.0116247"/>
    <s v="0.00000266"/>
    <x v="650"/>
    <x v="659"/>
    <x v="639"/>
    <x v="587"/>
    <x v="203"/>
    <x v="594"/>
    <x v="622"/>
    <s v="1507352342"/>
  </r>
  <r>
    <x v="660"/>
    <x v="658"/>
    <s v="SLM"/>
    <s v="661"/>
    <s v="0.0126497"/>
    <s v="0.00000289"/>
    <x v="651"/>
    <x v="660"/>
    <x v="640"/>
    <x v="588"/>
    <x v="378"/>
    <x v="595"/>
    <x v="623"/>
    <s v="1507352346"/>
  </r>
  <r>
    <x v="661"/>
    <x v="659"/>
    <s v="TEK"/>
    <s v="662"/>
    <s v="0.000131296"/>
    <s v="0.00000003"/>
    <x v="652"/>
    <x v="661"/>
    <x v="641"/>
    <x v="589"/>
    <x v="18"/>
    <x v="596"/>
    <x v="624"/>
    <s v="1507352343"/>
  </r>
  <r>
    <x v="662"/>
    <x v="660"/>
    <s v="SMOKE"/>
    <s v="663"/>
    <s v="0.0137022"/>
    <s v="0.00000313"/>
    <x v="653"/>
    <x v="662"/>
    <x v="642"/>
    <x v="590"/>
    <x v="379"/>
    <x v="597"/>
    <x v="625"/>
    <s v="1507352361"/>
  </r>
  <r>
    <x v="663"/>
    <x v="661"/>
    <s v="FUNK"/>
    <s v="664"/>
    <s v="0.0000039907"/>
    <s v="0.0000000009"/>
    <x v="654"/>
    <x v="663"/>
    <x v="643"/>
    <x v="591"/>
    <x v="380"/>
    <x v="598"/>
    <x v="353"/>
    <s v="1507352346"/>
  </r>
  <r>
    <x v="664"/>
    <x v="662"/>
    <s v="VIDZ"/>
    <s v="665"/>
    <s v="0.0013995"/>
    <s v="0.00000032"/>
    <x v="655"/>
    <x v="664"/>
    <x v="644"/>
    <x v="592"/>
    <x v="18"/>
    <x v="169"/>
    <x v="626"/>
    <s v="1507352354"/>
  </r>
  <r>
    <x v="665"/>
    <x v="663"/>
    <s v="BUN"/>
    <s v="666"/>
    <s v="0.0000017016"/>
    <s v="0.0000000004"/>
    <x v="656"/>
    <x v="665"/>
    <x v="645"/>
    <x v="593"/>
    <x v="64"/>
    <x v="599"/>
    <x v="627"/>
    <s v="1507352346"/>
  </r>
  <r>
    <x v="666"/>
    <x v="664"/>
    <s v="VAL"/>
    <s v="667"/>
    <s v="0.0000437705"/>
    <s v="0.00000001"/>
    <x v="657"/>
    <x v="666"/>
    <x v="646"/>
    <x v="594"/>
    <x v="18"/>
    <x v="108"/>
    <x v="574"/>
    <s v="1507352350"/>
  </r>
  <r>
    <x v="667"/>
    <x v="665"/>
    <s v="ICN"/>
    <s v="668"/>
    <s v="0.00590901"/>
    <s v="0.00000135"/>
    <x v="658"/>
    <x v="667"/>
    <x v="647"/>
    <x v="595"/>
    <x v="18"/>
    <x v="600"/>
    <x v="628"/>
    <s v="1507352342"/>
  </r>
  <r>
    <x v="668"/>
    <x v="666"/>
    <s v="PSB"/>
    <s v="669"/>
    <s v="0.00507738"/>
    <s v="0.00000116"/>
    <x v="659"/>
    <x v="668"/>
    <x v="648"/>
    <x v="596"/>
    <x v="18"/>
    <x v="601"/>
    <x v="629"/>
    <s v="1507352352"/>
  </r>
  <r>
    <x v="669"/>
    <x v="667"/>
    <s v="MNM"/>
    <s v="670"/>
    <s v="0.0177708"/>
    <s v="0.00000406"/>
    <x v="660"/>
    <x v="669"/>
    <x v="649"/>
    <x v="597"/>
    <x v="18"/>
    <x v="602"/>
    <x v="630"/>
    <s v="1507352351"/>
  </r>
  <r>
    <x v="670"/>
    <x v="668"/>
    <s v="KED"/>
    <s v="671"/>
    <s v="0.0126934"/>
    <s v="0.00000290"/>
    <x v="661"/>
    <x v="670"/>
    <x v="650"/>
    <x v="598"/>
    <x v="18"/>
    <x v="603"/>
    <x v="631"/>
    <s v="1507352356"/>
  </r>
  <r>
    <x v="671"/>
    <x v="669"/>
    <s v="LOT"/>
    <s v="672"/>
    <s v="0.0000113844"/>
    <s v="0.000000003"/>
    <x v="662"/>
    <x v="671"/>
    <x v="651"/>
    <x v="599"/>
    <x v="275"/>
    <x v="604"/>
    <x v="632"/>
    <s v="1507352341"/>
  </r>
  <r>
    <x v="672"/>
    <x v="670"/>
    <s v="RBX"/>
    <s v="673"/>
    <s v="0.000431079"/>
    <s v="0.00000010"/>
    <x v="663"/>
    <x v="672"/>
    <x v="652"/>
    <x v="25"/>
    <x v="157"/>
    <x v="605"/>
    <x v="633"/>
    <s v="1507352356"/>
  </r>
  <r>
    <x v="673"/>
    <x v="671"/>
    <s v="CAP"/>
    <s v="674"/>
    <s v="0.000872744"/>
    <s v="0.00000020"/>
    <x v="664"/>
    <x v="673"/>
    <x v="653"/>
    <x v="600"/>
    <x v="203"/>
    <x v="606"/>
    <x v="9"/>
    <s v="1507352340"/>
  </r>
  <r>
    <x v="674"/>
    <x v="672"/>
    <s v="SLG"/>
    <s v="675"/>
    <s v="0.0363295"/>
    <s v="0.00000830"/>
    <x v="665"/>
    <x v="674"/>
    <x v="654"/>
    <x v="601"/>
    <x v="18"/>
    <x v="59"/>
    <x v="110"/>
    <s v="1507352344"/>
  </r>
  <r>
    <x v="675"/>
    <x v="673"/>
    <s v="ELE"/>
    <s v="676"/>
    <s v="0.00590901"/>
    <s v="0.00000135"/>
    <x v="666"/>
    <x v="675"/>
    <x v="655"/>
    <x v="602"/>
    <x v="18"/>
    <x v="607"/>
    <x v="634"/>
    <s v="1507352351"/>
  </r>
  <r>
    <x v="676"/>
    <x v="674"/>
    <s v="USDE"/>
    <s v="677"/>
    <s v="0.000131311"/>
    <s v="0.00000003"/>
    <x v="667"/>
    <x v="676"/>
    <x v="656"/>
    <x v="603"/>
    <x v="43"/>
    <x v="608"/>
    <x v="635"/>
    <s v="1507352341"/>
  </r>
  <r>
    <x v="677"/>
    <x v="675"/>
    <s v="HODL"/>
    <s v="678"/>
    <s v="0.00109426"/>
    <s v="0.00000025"/>
    <x v="668"/>
    <x v="677"/>
    <x v="657"/>
    <x v="604"/>
    <x v="43"/>
    <x v="609"/>
    <x v="636"/>
    <s v="1507352349"/>
  </r>
  <r>
    <x v="678"/>
    <x v="676"/>
    <s v="PXI"/>
    <s v="679"/>
    <s v="0.00877398"/>
    <s v="0.00000200"/>
    <x v="669"/>
    <x v="678"/>
    <x v="658"/>
    <x v="605"/>
    <x v="162"/>
    <x v="610"/>
    <x v="637"/>
    <s v="1507352345"/>
  </r>
  <r>
    <x v="679"/>
    <x v="677"/>
    <s v="FRC"/>
    <s v="680"/>
    <s v="0.00503361"/>
    <s v="0.00000115"/>
    <x v="670"/>
    <x v="679"/>
    <x v="659"/>
    <x v="7"/>
    <x v="43"/>
    <x v="611"/>
    <x v="638"/>
    <s v="1507352340"/>
  </r>
  <r>
    <x v="680"/>
    <x v="678"/>
    <s v="BOLI"/>
    <s v="681"/>
    <s v="0.0186763"/>
    <s v="0.00000427"/>
    <x v="671"/>
    <x v="680"/>
    <x v="660"/>
    <x v="606"/>
    <x v="381"/>
    <x v="612"/>
    <x v="324"/>
    <s v="1507352360"/>
  </r>
  <r>
    <x v="681"/>
    <x v="679"/>
    <s v="OPAL"/>
    <s v="682"/>
    <s v="0.00959422"/>
    <s v="0.00000219"/>
    <x v="672"/>
    <x v="681"/>
    <x v="661"/>
    <x v="607"/>
    <x v="18"/>
    <x v="613"/>
    <x v="639"/>
    <s v="1507352345"/>
  </r>
  <r>
    <x v="682"/>
    <x v="680"/>
    <s v="DGC"/>
    <s v="683"/>
    <s v="0.0053894"/>
    <s v="0.00000123"/>
    <x v="673"/>
    <x v="682"/>
    <x v="662"/>
    <x v="608"/>
    <x v="205"/>
    <x v="614"/>
    <x v="640"/>
    <s v="1507352340"/>
  </r>
  <r>
    <x v="683"/>
    <x v="681"/>
    <s v="BITSILVER"/>
    <s v="684"/>
    <s v="16.3787"/>
    <s v="0.00374195"/>
    <x v="674"/>
    <x v="683"/>
    <x v="663"/>
    <x v="609"/>
    <x v="166"/>
    <x v="204"/>
    <x v="641"/>
    <s v="1507352345"/>
  </r>
  <r>
    <x v="684"/>
    <x v="682"/>
    <s v="020"/>
    <s v="685"/>
    <s v="0.0000009192"/>
    <s v="0.0000000002"/>
    <x v="675"/>
    <x v="684"/>
    <x v="664"/>
    <x v="610"/>
    <x v="260"/>
    <x v="615"/>
    <x v="642"/>
    <s v="1507352347"/>
  </r>
  <r>
    <x v="685"/>
    <x v="683"/>
    <s v="WAY"/>
    <s v="686"/>
    <s v="0.0014355"/>
    <s v="0.00000033"/>
    <x v="576"/>
    <x v="685"/>
    <x v="665"/>
    <x v="611"/>
    <x v="355"/>
    <x v="616"/>
    <x v="17"/>
    <s v="1507326554"/>
  </r>
  <r>
    <x v="686"/>
    <x v="684"/>
    <s v="EMD"/>
    <s v="687"/>
    <s v="0.00747253"/>
    <s v="0.00000171"/>
    <x v="676"/>
    <x v="686"/>
    <x v="666"/>
    <x v="612"/>
    <x v="2"/>
    <x v="617"/>
    <x v="643"/>
    <s v="1507352341"/>
  </r>
  <r>
    <x v="687"/>
    <x v="685"/>
    <s v="DLC"/>
    <s v="688"/>
    <s v="0.0156659"/>
    <s v="0.00000358"/>
    <x v="677"/>
    <x v="687"/>
    <x v="667"/>
    <x v="613"/>
    <x v="18"/>
    <x v="618"/>
    <x v="644"/>
    <s v="1507352353"/>
  </r>
  <r>
    <x v="688"/>
    <x v="686"/>
    <s v="Q2C"/>
    <s v="689"/>
    <s v="0.000569016"/>
    <s v="0.00000013"/>
    <x v="678"/>
    <x v="688"/>
    <x v="668"/>
    <x v="614"/>
    <x v="18"/>
    <x v="619"/>
    <x v="645"/>
    <s v="1507352342"/>
  </r>
  <r>
    <x v="689"/>
    <x v="687"/>
    <s v="BLC"/>
    <s v="690"/>
    <s v="0.00906015"/>
    <s v="0.00000207"/>
    <x v="679"/>
    <x v="689"/>
    <x v="669"/>
    <x v="615"/>
    <x v="18"/>
    <x v="0"/>
    <x v="646"/>
    <s v="1507352341"/>
  </r>
  <r>
    <x v="690"/>
    <x v="688"/>
    <s v="XGR"/>
    <s v="691"/>
    <s v="0.00796623"/>
    <s v="0.00000182"/>
    <x v="680"/>
    <x v="690"/>
    <x v="670"/>
    <x v="616"/>
    <x v="18"/>
    <x v="364"/>
    <x v="647"/>
    <s v="1507352344"/>
  </r>
  <r>
    <x v="691"/>
    <x v="689"/>
    <s v="CNO"/>
    <s v="692"/>
    <s v="0.00126934"/>
    <s v="0.00000029"/>
    <x v="681"/>
    <x v="691"/>
    <x v="671"/>
    <x v="617"/>
    <x v="18"/>
    <x v="108"/>
    <x v="648"/>
    <s v="1507352342"/>
  </r>
  <r>
    <x v="692"/>
    <x v="690"/>
    <s v="CYP"/>
    <s v="693"/>
    <s v="0.0207034"/>
    <s v="0.00000491"/>
    <x v="576"/>
    <x v="692"/>
    <x v="672"/>
    <x v="618"/>
    <x v="355"/>
    <x v="108"/>
    <x v="17"/>
    <s v="1507137246"/>
  </r>
  <r>
    <x v="693"/>
    <x v="691"/>
    <s v="PUTIC"/>
    <s v="694"/>
    <s v="0.00384673"/>
    <s v="0.00000091"/>
    <x v="576"/>
    <x v="693"/>
    <x v="673"/>
    <x v="619"/>
    <x v="355"/>
    <x v="108"/>
    <x v="649"/>
    <s v="1507121059"/>
  </r>
  <r>
    <x v="694"/>
    <x v="692"/>
    <s v="VC"/>
    <s v="695"/>
    <s v="0.0130874"/>
    <s v="0.00000299"/>
    <x v="682"/>
    <x v="694"/>
    <x v="674"/>
    <x v="620"/>
    <x v="18"/>
    <x v="620"/>
    <x v="650"/>
    <s v="1507352344"/>
  </r>
  <r>
    <x v="695"/>
    <x v="693"/>
    <s v="SAC"/>
    <s v="696"/>
    <s v="0.0551508"/>
    <s v="0.00001260"/>
    <x v="683"/>
    <x v="695"/>
    <x v="675"/>
    <x v="621"/>
    <x v="18"/>
    <x v="621"/>
    <x v="651"/>
    <s v="1507352356"/>
  </r>
  <r>
    <x v="696"/>
    <x v="694"/>
    <s v="YAC"/>
    <s v="697"/>
    <s v="0.00109426"/>
    <s v="0.00000025"/>
    <x v="684"/>
    <x v="696"/>
    <x v="676"/>
    <x v="622"/>
    <x v="18"/>
    <x v="622"/>
    <x v="652"/>
    <s v="1507352340"/>
  </r>
  <r>
    <x v="697"/>
    <x v="695"/>
    <s v="KLC"/>
    <s v="698"/>
    <s v="0.000656557"/>
    <s v="0.00000015"/>
    <x v="685"/>
    <x v="697"/>
    <x v="677"/>
    <x v="623"/>
    <x v="382"/>
    <x v="623"/>
    <x v="154"/>
    <s v="1507352349"/>
  </r>
  <r>
    <x v="698"/>
    <x v="696"/>
    <s v="BTWTY"/>
    <s v="699"/>
    <s v="124817.0"/>
    <s v="28.5163"/>
    <x v="686"/>
    <x v="698"/>
    <x v="678"/>
    <x v="507"/>
    <x v="25"/>
    <x v="624"/>
    <x v="653"/>
    <s v="1507352360"/>
  </r>
  <r>
    <x v="699"/>
    <x v="697"/>
    <s v="TIX"/>
    <s v="700"/>
    <s v="0.0000018817"/>
    <s v="0.0000000004"/>
    <x v="687"/>
    <x v="699"/>
    <x v="679"/>
    <x v="624"/>
    <x v="57"/>
    <x v="625"/>
    <x v="654"/>
    <s v="1507352340"/>
  </r>
  <r>
    <x v="700"/>
    <x v="698"/>
    <s v="UNITS"/>
    <s v="701"/>
    <s v="0.0349226"/>
    <s v="0.00000798"/>
    <x v="688"/>
    <x v="700"/>
    <x v="680"/>
    <x v="625"/>
    <x v="210"/>
    <x v="594"/>
    <x v="655"/>
    <s v="1507352354"/>
  </r>
  <r>
    <x v="701"/>
    <x v="699"/>
    <s v="CJ"/>
    <s v="702"/>
    <s v="0.000297435"/>
    <s v="0.00000007"/>
    <x v="689"/>
    <x v="701"/>
    <x v="681"/>
    <x v="626"/>
    <x v="44"/>
    <x v="414"/>
    <x v="656"/>
    <s v="1507352351"/>
  </r>
  <r>
    <x v="702"/>
    <x v="700"/>
    <s v="KUSH"/>
    <s v="703"/>
    <s v="0.0221916"/>
    <s v="0.00000507"/>
    <x v="690"/>
    <x v="702"/>
    <x v="682"/>
    <x v="627"/>
    <x v="18"/>
    <x v="108"/>
    <x v="657"/>
    <s v="1507352354"/>
  </r>
  <r>
    <x v="703"/>
    <x v="701"/>
    <s v="CHESS"/>
    <s v="704"/>
    <s v="0.00222314"/>
    <s v="0.00000051"/>
    <x v="691"/>
    <x v="703"/>
    <x v="683"/>
    <x v="628"/>
    <x v="383"/>
    <x v="280"/>
    <x v="658"/>
    <s v="1507352350"/>
  </r>
  <r>
    <x v="704"/>
    <x v="702"/>
    <s v="SPEX"/>
    <s v="705"/>
    <s v="0.0000418796"/>
    <s v="0.00000001"/>
    <x v="576"/>
    <x v="704"/>
    <x v="684"/>
    <x v="629"/>
    <x v="355"/>
    <x v="108"/>
    <x v="659"/>
    <s v="1507175050"/>
  </r>
  <r>
    <x v="705"/>
    <x v="703"/>
    <s v="GRT"/>
    <s v="706"/>
    <s v="0.00278313"/>
    <s v="0.00000063"/>
    <x v="576"/>
    <x v="705"/>
    <x v="685"/>
    <x v="630"/>
    <x v="355"/>
    <x v="626"/>
    <x v="660"/>
    <s v="1507337663"/>
  </r>
  <r>
    <x v="706"/>
    <x v="704"/>
    <s v="GUN"/>
    <s v="707"/>
    <s v="0.000610285"/>
    <s v="0.00000014"/>
    <x v="692"/>
    <x v="706"/>
    <x v="686"/>
    <x v="631"/>
    <x v="43"/>
    <x v="481"/>
    <x v="661"/>
    <s v="1507352343"/>
  </r>
  <r>
    <x v="707"/>
    <x v="705"/>
    <s v="UNIT"/>
    <s v="708"/>
    <s v="0.00899098"/>
    <s v="0.00000205"/>
    <x v="693"/>
    <x v="707"/>
    <x v="687"/>
    <x v="632"/>
    <x v="18"/>
    <x v="627"/>
    <x v="662"/>
    <s v="1507352359"/>
  </r>
  <r>
    <x v="708"/>
    <x v="706"/>
    <s v="C2"/>
    <s v="709"/>
    <s v="0.00114619"/>
    <s v="0.00000026"/>
    <x v="694"/>
    <x v="708"/>
    <x v="688"/>
    <x v="633"/>
    <x v="384"/>
    <x v="628"/>
    <x v="663"/>
    <s v="1507352344"/>
  </r>
  <r>
    <x v="709"/>
    <x v="707"/>
    <s v="J"/>
    <s v="710"/>
    <s v="0.045119"/>
    <s v="0.00001031"/>
    <x v="695"/>
    <x v="709"/>
    <x v="689"/>
    <x v="634"/>
    <x v="385"/>
    <x v="463"/>
    <x v="664"/>
    <s v="1507352346"/>
  </r>
  <r>
    <x v="710"/>
    <x v="708"/>
    <s v="TTC"/>
    <s v="711"/>
    <s v="0.0000876381"/>
    <s v="0.00000002"/>
    <x v="696"/>
    <x v="710"/>
    <x v="690"/>
    <x v="635"/>
    <x v="18"/>
    <x v="629"/>
    <x v="665"/>
    <s v="1507352345"/>
  </r>
  <r>
    <x v="711"/>
    <x v="709"/>
    <s v="EVO"/>
    <s v="712"/>
    <s v="0.0350684"/>
    <s v="0.00000801"/>
    <x v="697"/>
    <x v="711"/>
    <x v="691"/>
    <x v="636"/>
    <x v="386"/>
    <x v="630"/>
    <x v="666"/>
    <s v="1507352348"/>
  </r>
  <r>
    <x v="712"/>
    <x v="710"/>
    <s v="BITGOLD"/>
    <s v="713"/>
    <s v="1207.33"/>
    <s v="0.275831"/>
    <x v="698"/>
    <x v="712"/>
    <x v="692"/>
    <x v="637"/>
    <x v="387"/>
    <x v="631"/>
    <x v="667"/>
    <s v="1507352346"/>
  </r>
  <r>
    <x v="713"/>
    <x v="711"/>
    <s v="MTM"/>
    <s v="714"/>
    <s v="0.0359919"/>
    <s v="0.00000822"/>
    <x v="699"/>
    <x v="713"/>
    <x v="693"/>
    <x v="638"/>
    <x v="388"/>
    <x v="108"/>
    <x v="668"/>
    <s v="1507352355"/>
  </r>
  <r>
    <x v="714"/>
    <x v="712"/>
    <s v="LTBC"/>
    <s v="715"/>
    <s v="0.000217307"/>
    <s v="0.00000005"/>
    <x v="576"/>
    <x v="714"/>
    <x v="694"/>
    <x v="639"/>
    <x v="355"/>
    <x v="108"/>
    <x v="669"/>
    <s v="1507042146"/>
  </r>
  <r>
    <x v="715"/>
    <x v="713"/>
    <s v="CUBE"/>
    <s v="716"/>
    <s v="0.0000437705"/>
    <s v="0.00000001"/>
    <x v="700"/>
    <x v="715"/>
    <x v="695"/>
    <x v="640"/>
    <x v="18"/>
    <x v="334"/>
    <x v="670"/>
    <s v="1507352348"/>
  </r>
  <r>
    <x v="716"/>
    <x v="714"/>
    <s v="QCN"/>
    <s v="717"/>
    <s v="0.0175082"/>
    <s v="0.00000400"/>
    <x v="701"/>
    <x v="716"/>
    <x v="696"/>
    <x v="641"/>
    <x v="389"/>
    <x v="632"/>
    <x v="671"/>
    <s v="1507352343"/>
  </r>
  <r>
    <x v="717"/>
    <x v="715"/>
    <s v="KIC"/>
    <s v="718"/>
    <s v="0.00718308"/>
    <s v="0.00000164"/>
    <x v="702"/>
    <x v="717"/>
    <x v="697"/>
    <x v="642"/>
    <x v="210"/>
    <x v="633"/>
    <x v="672"/>
    <s v="1507352358"/>
  </r>
  <r>
    <x v="718"/>
    <x v="716"/>
    <s v="NYAN"/>
    <s v="719"/>
    <s v="0.000346906"/>
    <s v="0.00000008"/>
    <x v="703"/>
    <x v="718"/>
    <x v="698"/>
    <x v="643"/>
    <x v="222"/>
    <x v="634"/>
    <x v="673"/>
    <s v="1507352342"/>
  </r>
  <r>
    <x v="719"/>
    <x v="717"/>
    <s v="BSTY"/>
    <s v="720"/>
    <s v="0.00787769"/>
    <s v="0.00000180"/>
    <x v="704"/>
    <x v="719"/>
    <x v="699"/>
    <x v="644"/>
    <x v="210"/>
    <x v="635"/>
    <x v="674"/>
    <s v="1507352346"/>
  </r>
  <r>
    <x v="720"/>
    <x v="718"/>
    <s v="XRE"/>
    <s v="721"/>
    <s v="0.00450836"/>
    <s v="0.00000103"/>
    <x v="705"/>
    <x v="720"/>
    <x v="700"/>
    <x v="645"/>
    <x v="43"/>
    <x v="58"/>
    <x v="675"/>
    <s v="1507352350"/>
  </r>
  <r>
    <x v="721"/>
    <x v="719"/>
    <s v="TGC"/>
    <s v="722"/>
    <s v="0.00227606"/>
    <s v="0.00000052"/>
    <x v="706"/>
    <x v="721"/>
    <x v="701"/>
    <x v="646"/>
    <x v="18"/>
    <x v="636"/>
    <x v="676"/>
    <s v="1507352341"/>
  </r>
  <r>
    <x v="722"/>
    <x v="720"/>
    <s v="TSTR"/>
    <s v="723"/>
    <s v="0.0196967"/>
    <s v="0.00000450"/>
    <x v="707"/>
    <x v="722"/>
    <x v="702"/>
    <x v="647"/>
    <x v="18"/>
    <x v="98"/>
    <x v="677"/>
    <s v="1507352355"/>
  </r>
  <r>
    <x v="723"/>
    <x v="721"/>
    <s v="MCRN"/>
    <s v="724"/>
    <s v="0.000238747"/>
    <s v="0.00000005"/>
    <x v="708"/>
    <x v="723"/>
    <x v="703"/>
    <x v="648"/>
    <x v="18"/>
    <x v="637"/>
    <x v="678"/>
    <s v="1507352357"/>
  </r>
  <r>
    <x v="724"/>
    <x v="722"/>
    <s v="PX"/>
    <s v="725"/>
    <s v="0.00104133"/>
    <s v="0.00000024"/>
    <x v="709"/>
    <x v="724"/>
    <x v="704"/>
    <x v="649"/>
    <x v="18"/>
    <x v="98"/>
    <x v="679"/>
    <s v="1507352362"/>
  </r>
  <r>
    <x v="725"/>
    <x v="723"/>
    <s v="XJO"/>
    <s v="726"/>
    <s v="0.00277911"/>
    <s v="0.00000063"/>
    <x v="710"/>
    <x v="725"/>
    <x v="705"/>
    <x v="650"/>
    <x v="390"/>
    <x v="638"/>
    <x v="680"/>
    <s v="1507352342"/>
  </r>
  <r>
    <x v="726"/>
    <x v="724"/>
    <s v="LTB"/>
    <s v="727"/>
    <s v="0.12547"/>
    <s v="0.00002867"/>
    <x v="711"/>
    <x v="726"/>
    <x v="706"/>
    <x v="651"/>
    <x v="369"/>
    <x v="639"/>
    <x v="681"/>
    <s v="1507352342"/>
  </r>
  <r>
    <x v="727"/>
    <x v="725"/>
    <s v="BIGUP"/>
    <s v="728"/>
    <s v="0.0000447222"/>
    <s v="0.00000001"/>
    <x v="712"/>
    <x v="727"/>
    <x v="707"/>
    <x v="652"/>
    <x v="181"/>
    <x v="640"/>
    <x v="682"/>
    <s v="1507352349"/>
  </r>
  <r>
    <x v="728"/>
    <x v="726"/>
    <s v="BERN"/>
    <s v="729"/>
    <s v="0.00130603"/>
    <s v="0.00000030"/>
    <x v="713"/>
    <x v="728"/>
    <x v="708"/>
    <x v="653"/>
    <x v="43"/>
    <x v="236"/>
    <x v="683"/>
    <s v="1507352349"/>
  </r>
  <r>
    <x v="729"/>
    <x v="727"/>
    <s v="MAD"/>
    <s v="730"/>
    <s v="0.0000437863"/>
    <s v="0.00000001"/>
    <x v="576"/>
    <x v="729"/>
    <x v="709"/>
    <x v="654"/>
    <x v="355"/>
    <x v="641"/>
    <x v="684"/>
    <s v="1507296850"/>
  </r>
  <r>
    <x v="730"/>
    <x v="728"/>
    <s v="PASL"/>
    <s v="731"/>
    <s v="0.0243802"/>
    <s v="0.00000557"/>
    <x v="714"/>
    <x v="730"/>
    <x v="710"/>
    <x v="655"/>
    <x v="391"/>
    <x v="642"/>
    <x v="685"/>
    <s v="1507352355"/>
  </r>
  <r>
    <x v="731"/>
    <x v="729"/>
    <s v="EVIL"/>
    <s v="732"/>
    <s v="0.00408624"/>
    <s v="0.00000093"/>
    <x v="715"/>
    <x v="731"/>
    <x v="711"/>
    <x v="656"/>
    <x v="392"/>
    <x v="643"/>
    <x v="686"/>
    <s v="1507352348"/>
  </r>
  <r>
    <x v="732"/>
    <x v="730"/>
    <s v="JIN"/>
    <s v="733"/>
    <s v="0.008678"/>
    <s v="0.00000198"/>
    <x v="716"/>
    <x v="732"/>
    <x v="712"/>
    <x v="657"/>
    <x v="43"/>
    <x v="644"/>
    <x v="687"/>
    <s v="1507352352"/>
  </r>
  <r>
    <x v="733"/>
    <x v="731"/>
    <s v="XPD"/>
    <s v="734"/>
    <s v="0.00133052"/>
    <s v="0.00000030"/>
    <x v="717"/>
    <x v="733"/>
    <x v="713"/>
    <x v="658"/>
    <x v="18"/>
    <x v="645"/>
    <x v="688"/>
    <s v="1507352343"/>
  </r>
  <r>
    <x v="734"/>
    <x v="732"/>
    <s v="MST"/>
    <s v="735"/>
    <s v="0.128595"/>
    <s v="0.00002938"/>
    <x v="718"/>
    <x v="734"/>
    <x v="714"/>
    <x v="659"/>
    <x v="18"/>
    <x v="121"/>
    <x v="689"/>
    <s v="1507352352"/>
  </r>
  <r>
    <x v="735"/>
    <x v="733"/>
    <s v="ARI"/>
    <s v="736"/>
    <s v="0.000573463"/>
    <s v="0.00000013"/>
    <x v="719"/>
    <x v="735"/>
    <x v="715"/>
    <x v="660"/>
    <x v="52"/>
    <x v="646"/>
    <x v="356"/>
    <s v="1507352344"/>
  </r>
  <r>
    <x v="736"/>
    <x v="734"/>
    <s v="SPACE"/>
    <s v="737"/>
    <s v="0.00398288"/>
    <s v="0.00000091"/>
    <x v="720"/>
    <x v="736"/>
    <x v="716"/>
    <x v="661"/>
    <x v="18"/>
    <x v="274"/>
    <x v="690"/>
    <s v="1507352349"/>
  </r>
  <r>
    <x v="737"/>
    <x v="735"/>
    <s v="CON"/>
    <s v="738"/>
    <s v="0.00341898"/>
    <s v="0.00000078"/>
    <x v="721"/>
    <x v="737"/>
    <x v="717"/>
    <x v="662"/>
    <x v="18"/>
    <x v="647"/>
    <x v="691"/>
    <s v="1507352346"/>
  </r>
  <r>
    <x v="738"/>
    <x v="736"/>
    <s v="GP"/>
    <s v="739"/>
    <s v="0.0635903"/>
    <s v="0.00001453"/>
    <x v="722"/>
    <x v="738"/>
    <x v="718"/>
    <x v="663"/>
    <x v="393"/>
    <x v="648"/>
    <x v="692"/>
    <s v="1507352350"/>
  </r>
  <r>
    <x v="739"/>
    <x v="737"/>
    <s v="FIRE"/>
    <s v="740"/>
    <s v="0.788044"/>
    <s v="0.00018004"/>
    <x v="723"/>
    <x v="739"/>
    <x v="719"/>
    <x v="664"/>
    <x v="43"/>
    <x v="122"/>
    <x v="693"/>
    <s v="1507352344"/>
  </r>
  <r>
    <x v="740"/>
    <x v="738"/>
    <s v="FRK"/>
    <s v="741"/>
    <s v="0.0832001"/>
    <s v="0.00001888"/>
    <x v="576"/>
    <x v="740"/>
    <x v="720"/>
    <x v="665"/>
    <x v="355"/>
    <x v="649"/>
    <x v="17"/>
    <s v="1507281541"/>
  </r>
  <r>
    <x v="741"/>
    <x v="739"/>
    <s v="DUO"/>
    <s v="742"/>
    <s v="0.254097"/>
    <s v="0.00005805"/>
    <x v="724"/>
    <x v="741"/>
    <x v="721"/>
    <x v="666"/>
    <x v="44"/>
    <x v="650"/>
    <x v="694"/>
    <s v="1507352348"/>
  </r>
  <r>
    <x v="742"/>
    <x v="740"/>
    <s v="ARCO"/>
    <s v="743"/>
    <s v="0.0534868"/>
    <s v="0.00001222"/>
    <x v="725"/>
    <x v="742"/>
    <x v="722"/>
    <x v="667"/>
    <x v="282"/>
    <x v="651"/>
    <x v="695"/>
    <s v="1507352349"/>
  </r>
  <r>
    <x v="743"/>
    <x v="741"/>
    <s v="ANTI"/>
    <s v="744"/>
    <s v="0.00428951"/>
    <s v="0.00000098"/>
    <x v="726"/>
    <x v="743"/>
    <x v="723"/>
    <x v="668"/>
    <x v="43"/>
    <x v="652"/>
    <x v="696"/>
    <s v="1507352350"/>
  </r>
  <r>
    <x v="744"/>
    <x v="742"/>
    <s v="PLNC"/>
    <s v="745"/>
    <s v="0.00437705"/>
    <s v="0.00000100"/>
    <x v="727"/>
    <x v="744"/>
    <x v="724"/>
    <x v="669"/>
    <x v="18"/>
    <x v="653"/>
    <x v="697"/>
    <s v="1507352343"/>
  </r>
  <r>
    <x v="745"/>
    <x v="743"/>
    <s v="WMC"/>
    <s v="746"/>
    <s v="0.00647803"/>
    <s v="0.00000148"/>
    <x v="728"/>
    <x v="745"/>
    <x v="725"/>
    <x v="670"/>
    <x v="18"/>
    <x v="654"/>
    <x v="17"/>
    <s v="1507352350"/>
  </r>
  <r>
    <x v="746"/>
    <x v="744"/>
    <s v="CACH"/>
    <s v="747"/>
    <s v="0.0177799"/>
    <s v="0.00000406"/>
    <x v="729"/>
    <x v="746"/>
    <x v="726"/>
    <x v="671"/>
    <x v="18"/>
    <x v="655"/>
    <x v="698"/>
    <s v="1507352342"/>
  </r>
  <r>
    <x v="747"/>
    <x v="745"/>
    <s v="BTCR"/>
    <s v="748"/>
    <s v="0.000437684"/>
    <s v="0.00000010"/>
    <x v="730"/>
    <x v="747"/>
    <x v="727"/>
    <x v="672"/>
    <x v="18"/>
    <x v="656"/>
    <x v="699"/>
    <s v="1507352353"/>
  </r>
  <r>
    <x v="748"/>
    <x v="746"/>
    <s v="IMS"/>
    <s v="749"/>
    <s v="0.0134972"/>
    <s v="0.00000308"/>
    <x v="731"/>
    <x v="748"/>
    <x v="728"/>
    <x v="673"/>
    <x v="18"/>
    <x v="657"/>
    <x v="700"/>
    <s v="1507352349"/>
  </r>
  <r>
    <x v="749"/>
    <x v="747"/>
    <s v="GTC"/>
    <s v="750"/>
    <s v="0.00236361"/>
    <s v="0.00000054"/>
    <x v="732"/>
    <x v="749"/>
    <x v="729"/>
    <x v="674"/>
    <x v="394"/>
    <x v="658"/>
    <x v="701"/>
    <s v="1507352359"/>
  </r>
  <r>
    <x v="750"/>
    <x v="748"/>
    <s v="CAT"/>
    <s v="751"/>
    <s v="0.0115116"/>
    <s v="0.00000263"/>
    <x v="733"/>
    <x v="750"/>
    <x v="730"/>
    <x v="675"/>
    <x v="18"/>
    <x v="84"/>
    <x v="141"/>
    <s v="1507352341"/>
  </r>
  <r>
    <x v="751"/>
    <x v="749"/>
    <s v="XBTC21"/>
    <s v="752"/>
    <s v="0.0871033"/>
    <s v="0.00001990"/>
    <x v="734"/>
    <x v="751"/>
    <x v="731"/>
    <x v="676"/>
    <x v="18"/>
    <x v="659"/>
    <x v="702"/>
    <s v="1507352352"/>
  </r>
  <r>
    <x v="752"/>
    <x v="750"/>
    <s v="RED"/>
    <s v="753"/>
    <s v="0.00091918"/>
    <s v="0.00000021"/>
    <x v="735"/>
    <x v="752"/>
    <x v="732"/>
    <x v="677"/>
    <x v="18"/>
    <x v="660"/>
    <x v="703"/>
    <s v="1507352341"/>
  </r>
  <r>
    <x v="753"/>
    <x v="751"/>
    <s v="MARS"/>
    <s v="754"/>
    <s v="0.00236348"/>
    <s v="0.00000054"/>
    <x v="736"/>
    <x v="753"/>
    <x v="733"/>
    <x v="678"/>
    <x v="43"/>
    <x v="661"/>
    <x v="704"/>
    <s v="1507352342"/>
  </r>
  <r>
    <x v="754"/>
    <x v="752"/>
    <s v="ZNY"/>
    <s v="755"/>
    <s v="0.00087541"/>
    <s v="0.00000020"/>
    <x v="737"/>
    <x v="754"/>
    <x v="734"/>
    <x v="679"/>
    <x v="18"/>
    <x v="662"/>
    <x v="705"/>
    <s v="1507352347"/>
  </r>
  <r>
    <x v="755"/>
    <x v="753"/>
    <s v="GCC"/>
    <s v="756"/>
    <s v="0.00323902"/>
    <s v="0.00000074"/>
    <x v="738"/>
    <x v="755"/>
    <x v="735"/>
    <x v="680"/>
    <x v="271"/>
    <x v="186"/>
    <x v="706"/>
    <s v="1507352347"/>
  </r>
  <r>
    <x v="756"/>
    <x v="754"/>
    <s v="ICOB"/>
    <s v="757"/>
    <s v="0.000610849"/>
    <s v="0.00000014"/>
    <x v="739"/>
    <x v="756"/>
    <x v="736"/>
    <x v="681"/>
    <x v="18"/>
    <x v="663"/>
    <x v="707"/>
    <s v="1507352354"/>
  </r>
  <r>
    <x v="757"/>
    <x v="755"/>
    <s v="EUC"/>
    <s v="758"/>
    <s v="0.00528467"/>
    <s v="0.00000121"/>
    <x v="740"/>
    <x v="757"/>
    <x v="737"/>
    <x v="682"/>
    <x v="285"/>
    <x v="214"/>
    <x v="708"/>
    <s v="1507352347"/>
  </r>
  <r>
    <x v="758"/>
    <x v="756"/>
    <s v="SLING"/>
    <s v="759"/>
    <s v="0.0590901"/>
    <s v="0.00001350"/>
    <x v="741"/>
    <x v="758"/>
    <x v="738"/>
    <x v="683"/>
    <x v="18"/>
    <x v="664"/>
    <x v="709"/>
    <s v="1507352346"/>
  </r>
  <r>
    <x v="759"/>
    <x v="757"/>
    <s v="SPT"/>
    <s v="760"/>
    <s v="0.00280747"/>
    <s v="0.00000064"/>
    <x v="742"/>
    <x v="759"/>
    <x v="739"/>
    <x v="684"/>
    <x v="12"/>
    <x v="112"/>
    <x v="527"/>
    <s v="1507352340"/>
  </r>
  <r>
    <x v="760"/>
    <x v="758"/>
    <s v="STV"/>
    <s v="761"/>
    <s v="0.00876787"/>
    <s v="0.00000200"/>
    <x v="743"/>
    <x v="760"/>
    <x v="740"/>
    <x v="685"/>
    <x v="18"/>
    <x v="665"/>
    <x v="710"/>
    <s v="1507352347"/>
  </r>
  <r>
    <x v="761"/>
    <x v="759"/>
    <s v="DBTC"/>
    <s v="762"/>
    <s v="0.00344807"/>
    <s v="0.00000079"/>
    <x v="744"/>
    <x v="543"/>
    <x v="741"/>
    <x v="686"/>
    <x v="18"/>
    <x v="666"/>
    <x v="711"/>
    <s v="1507352352"/>
  </r>
  <r>
    <x v="762"/>
    <x v="760"/>
    <s v="SRC"/>
    <s v="763"/>
    <s v="0.00763004"/>
    <s v="0.00000174"/>
    <x v="745"/>
    <x v="761"/>
    <x v="742"/>
    <x v="687"/>
    <x v="377"/>
    <x v="72"/>
    <x v="712"/>
    <s v="1507352340"/>
  </r>
  <r>
    <x v="763"/>
    <x v="761"/>
    <s v="VEC2"/>
    <s v="764"/>
    <s v="0.00376426"/>
    <s v="0.00000086"/>
    <x v="746"/>
    <x v="762"/>
    <x v="743"/>
    <x v="688"/>
    <x v="18"/>
    <x v="667"/>
    <x v="713"/>
    <s v="1507352360"/>
  </r>
  <r>
    <x v="764"/>
    <x v="762"/>
    <s v="SOIL"/>
    <s v="765"/>
    <s v="0.0107917"/>
    <s v="0.00000247"/>
    <x v="747"/>
    <x v="763"/>
    <x v="744"/>
    <x v="689"/>
    <x v="395"/>
    <x v="668"/>
    <x v="714"/>
    <s v="1507352347"/>
  </r>
  <r>
    <x v="765"/>
    <x v="763"/>
    <s v="PRC"/>
    <s v="766"/>
    <s v="0.00446459"/>
    <s v="0.00000102"/>
    <x v="748"/>
    <x v="764"/>
    <x v="745"/>
    <x v="690"/>
    <x v="342"/>
    <x v="669"/>
    <x v="715"/>
    <s v="1507352355"/>
  </r>
  <r>
    <x v="766"/>
    <x v="764"/>
    <s v="GAP"/>
    <s v="767"/>
    <s v="0.00521837"/>
    <s v="0.00000119"/>
    <x v="749"/>
    <x v="765"/>
    <x v="746"/>
    <x v="691"/>
    <x v="396"/>
    <x v="340"/>
    <x v="716"/>
    <s v="1507352361"/>
  </r>
  <r>
    <x v="767"/>
    <x v="765"/>
    <s v="DIBC"/>
    <s v="768"/>
    <s v="0.0121668"/>
    <s v="0.00000278"/>
    <x v="750"/>
    <x v="766"/>
    <x v="629"/>
    <x v="176"/>
    <x v="358"/>
    <x v="270"/>
    <x v="717"/>
    <s v="1507352356"/>
  </r>
  <r>
    <x v="768"/>
    <x v="766"/>
    <s v="BRAIN"/>
    <s v="769"/>
    <s v="0.00625918"/>
    <s v="0.00000143"/>
    <x v="751"/>
    <x v="767"/>
    <x v="747"/>
    <x v="692"/>
    <x v="18"/>
    <x v="670"/>
    <x v="718"/>
    <s v="1507352361"/>
  </r>
  <r>
    <x v="769"/>
    <x v="767"/>
    <s v="CRX"/>
    <s v="770"/>
    <s v="0.000821853"/>
    <s v="0.00000019"/>
    <x v="752"/>
    <x v="768"/>
    <x v="748"/>
    <x v="693"/>
    <x v="18"/>
    <x v="671"/>
    <x v="719"/>
    <s v="1507352351"/>
  </r>
  <r>
    <x v="770"/>
    <x v="768"/>
    <s v="KURT"/>
    <s v="771"/>
    <s v="0.00603805"/>
    <s v="0.00000138"/>
    <x v="753"/>
    <x v="769"/>
    <x v="749"/>
    <x v="694"/>
    <x v="397"/>
    <x v="672"/>
    <x v="720"/>
    <s v="1507352353"/>
  </r>
  <r>
    <x v="771"/>
    <x v="769"/>
    <s v="DRM"/>
    <s v="772"/>
    <s v="0.0244215"/>
    <s v="0.00000580"/>
    <x v="576"/>
    <x v="770"/>
    <x v="750"/>
    <x v="695"/>
    <x v="355"/>
    <x v="108"/>
    <x v="721"/>
    <s v="1507121943"/>
  </r>
  <r>
    <x v="772"/>
    <x v="770"/>
    <s v="BUMBA"/>
    <s v="773"/>
    <s v="0.00267"/>
    <s v="0.00000061"/>
    <x v="754"/>
    <x v="771"/>
    <x v="751"/>
    <x v="696"/>
    <x v="398"/>
    <x v="219"/>
    <x v="722"/>
    <s v="1507352349"/>
  </r>
  <r>
    <x v="773"/>
    <x v="771"/>
    <s v="RBT"/>
    <s v="774"/>
    <s v="0.000506767"/>
    <s v="0.00000012"/>
    <x v="755"/>
    <x v="772"/>
    <x v="752"/>
    <x v="697"/>
    <x v="18"/>
    <x v="673"/>
    <x v="723"/>
    <s v="1507352344"/>
  </r>
  <r>
    <x v="774"/>
    <x v="772"/>
    <s v="CORG"/>
    <s v="775"/>
    <s v="0.0000461302"/>
    <s v="0.00000001"/>
    <x v="756"/>
    <x v="773"/>
    <x v="753"/>
    <x v="698"/>
    <x v="399"/>
    <x v="674"/>
    <x v="724"/>
    <s v="1507352342"/>
  </r>
  <r>
    <x v="775"/>
    <x v="773"/>
    <s v="URC"/>
    <s v="776"/>
    <s v="0.00818508"/>
    <s v="0.00000187"/>
    <x v="757"/>
    <x v="774"/>
    <x v="754"/>
    <x v="699"/>
    <x v="18"/>
    <x v="675"/>
    <x v="725"/>
    <s v="1507352346"/>
  </r>
  <r>
    <x v="776"/>
    <x v="774"/>
    <s v="AGLC"/>
    <s v="777"/>
    <s v="0.00849147"/>
    <s v="0.00000194"/>
    <x v="758"/>
    <x v="775"/>
    <x v="755"/>
    <x v="700"/>
    <x v="18"/>
    <x v="676"/>
    <x v="726"/>
    <s v="1507352351"/>
  </r>
  <r>
    <x v="777"/>
    <x v="775"/>
    <s v="SCRT"/>
    <s v="778"/>
    <s v="0.0129739"/>
    <s v="0.00000301"/>
    <x v="576"/>
    <x v="776"/>
    <x v="756"/>
    <x v="701"/>
    <x v="355"/>
    <x v="108"/>
    <x v="727"/>
    <s v="1507223948"/>
  </r>
  <r>
    <x v="778"/>
    <x v="776"/>
    <s v="URO"/>
    <s v="779"/>
    <s v="0.0442957"/>
    <s v="0.00001012"/>
    <x v="759"/>
    <x v="777"/>
    <x v="757"/>
    <x v="702"/>
    <x v="18"/>
    <x v="108"/>
    <x v="728"/>
    <s v="1507352344"/>
  </r>
  <r>
    <x v="779"/>
    <x v="777"/>
    <s v="PONZI"/>
    <s v="780"/>
    <s v="0.0612787"/>
    <s v="0.00001400"/>
    <x v="760"/>
    <x v="778"/>
    <x v="758"/>
    <x v="703"/>
    <x v="18"/>
    <x v="677"/>
    <x v="729"/>
    <s v="1507352351"/>
  </r>
  <r>
    <x v="780"/>
    <x v="778"/>
    <s v="BOAT"/>
    <s v="781"/>
    <s v="0.00282592"/>
    <s v="0.00000065"/>
    <x v="761"/>
    <x v="779"/>
    <x v="759"/>
    <x v="704"/>
    <x v="400"/>
    <x v="678"/>
    <x v="730"/>
    <s v="1507352354"/>
  </r>
  <r>
    <x v="781"/>
    <x v="779"/>
    <s v="QTL"/>
    <s v="782"/>
    <s v="0.00678442"/>
    <s v="0.00000155"/>
    <x v="762"/>
    <x v="780"/>
    <x v="760"/>
    <x v="705"/>
    <x v="18"/>
    <x v="679"/>
    <x v="731"/>
    <s v="1507352344"/>
  </r>
  <r>
    <x v="782"/>
    <x v="780"/>
    <s v="ISL"/>
    <s v="783"/>
    <s v="0.0342285"/>
    <s v="0.00000782"/>
    <x v="763"/>
    <x v="781"/>
    <x v="761"/>
    <x v="706"/>
    <x v="43"/>
    <x v="124"/>
    <x v="17"/>
    <s v="1507352348"/>
  </r>
  <r>
    <x v="783"/>
    <x v="781"/>
    <s v="611"/>
    <s v="784"/>
    <s v="0.121617"/>
    <s v="0.00002779"/>
    <x v="764"/>
    <x v="782"/>
    <x v="762"/>
    <x v="707"/>
    <x v="18"/>
    <x v="680"/>
    <x v="732"/>
    <s v="1507352350"/>
  </r>
  <r>
    <x v="784"/>
    <x v="782"/>
    <s v="VTA"/>
    <s v="785"/>
    <s v="0.0000098235"/>
    <s v="0.000000002"/>
    <x v="765"/>
    <x v="783"/>
    <x v="763"/>
    <x v="708"/>
    <x v="260"/>
    <x v="681"/>
    <x v="733"/>
    <s v="1507352344"/>
  </r>
  <r>
    <x v="785"/>
    <x v="783"/>
    <s v="HXX"/>
    <s v="786"/>
    <s v="0.0344348"/>
    <s v="0.00000787"/>
    <x v="766"/>
    <x v="784"/>
    <x v="764"/>
    <x v="709"/>
    <x v="222"/>
    <x v="682"/>
    <x v="734"/>
    <s v="1507352347"/>
  </r>
  <r>
    <x v="786"/>
    <x v="784"/>
    <s v="GBC"/>
    <s v="787"/>
    <s v="0.00429477"/>
    <s v="0.00000098"/>
    <x v="767"/>
    <x v="785"/>
    <x v="765"/>
    <x v="710"/>
    <x v="15"/>
    <x v="683"/>
    <x v="735"/>
    <s v="1507352348"/>
  </r>
  <r>
    <x v="787"/>
    <x v="785"/>
    <s v="UNIBURST"/>
    <s v="788"/>
    <s v="0.048789"/>
    <s v="0.00001115"/>
    <x v="768"/>
    <x v="786"/>
    <x v="766"/>
    <x v="52"/>
    <x v="388"/>
    <x v="684"/>
    <x v="736"/>
    <s v="1507352355"/>
  </r>
  <r>
    <x v="788"/>
    <x v="786"/>
    <s v="BLRY"/>
    <s v="789"/>
    <s v="0.00538377"/>
    <s v="0.00000123"/>
    <x v="769"/>
    <x v="787"/>
    <x v="767"/>
    <x v="711"/>
    <x v="18"/>
    <x v="108"/>
    <x v="737"/>
    <s v="1507352351"/>
  </r>
  <r>
    <x v="789"/>
    <x v="787"/>
    <s v="ALL"/>
    <s v="790"/>
    <s v="0.00774737"/>
    <s v="0.00000177"/>
    <x v="770"/>
    <x v="788"/>
    <x v="768"/>
    <x v="712"/>
    <x v="18"/>
    <x v="685"/>
    <x v="738"/>
    <s v="1507352355"/>
  </r>
  <r>
    <x v="790"/>
    <x v="788"/>
    <s v="AMMO"/>
    <s v="791"/>
    <s v="0.000612787"/>
    <s v="0.00000014"/>
    <x v="771"/>
    <x v="789"/>
    <x v="769"/>
    <x v="713"/>
    <x v="18"/>
    <x v="686"/>
    <x v="739"/>
    <s v="1507352358"/>
  </r>
  <r>
    <x v="791"/>
    <x v="789"/>
    <s v="WARP"/>
    <s v="792"/>
    <s v="0.0426324"/>
    <s v="0.00000974"/>
    <x v="772"/>
    <x v="790"/>
    <x v="770"/>
    <x v="714"/>
    <x v="18"/>
    <x v="194"/>
    <x v="17"/>
    <s v="1507352348"/>
  </r>
  <r>
    <x v="792"/>
    <x v="790"/>
    <s v="300"/>
    <s v="793"/>
    <s v="153.653"/>
    <s v="0.0351042"/>
    <x v="773"/>
    <x v="791"/>
    <x v="771"/>
    <x v="715"/>
    <x v="401"/>
    <x v="687"/>
    <x v="740"/>
    <s v="1507352360"/>
  </r>
  <r>
    <x v="793"/>
    <x v="791"/>
    <s v="RPC"/>
    <s v="794"/>
    <s v="0.0517614"/>
    <s v="0.00001183"/>
    <x v="774"/>
    <x v="792"/>
    <x v="772"/>
    <x v="716"/>
    <x v="43"/>
    <x v="688"/>
    <x v="97"/>
    <s v="1507352341"/>
  </r>
  <r>
    <x v="794"/>
    <x v="792"/>
    <s v="HAL"/>
    <s v="795"/>
    <s v="0.00884164"/>
    <s v="0.00000202"/>
    <x v="775"/>
    <x v="793"/>
    <x v="773"/>
    <x v="717"/>
    <x v="402"/>
    <x v="689"/>
    <x v="741"/>
    <s v="1507352345"/>
  </r>
  <r>
    <x v="795"/>
    <x v="793"/>
    <s v="JWL"/>
    <s v="796"/>
    <s v="0.00210098"/>
    <s v="0.00000048"/>
    <x v="776"/>
    <x v="794"/>
    <x v="774"/>
    <x v="718"/>
    <x v="43"/>
    <x v="690"/>
    <x v="94"/>
    <s v="1507352352"/>
  </r>
  <r>
    <x v="796"/>
    <x v="794"/>
    <s v="ASAFE2"/>
    <s v="797"/>
    <s v="0.00518856"/>
    <s v="0.00000119"/>
    <x v="777"/>
    <x v="795"/>
    <x v="775"/>
    <x v="719"/>
    <x v="163"/>
    <x v="691"/>
    <x v="742"/>
    <s v="1507352355"/>
  </r>
  <r>
    <x v="797"/>
    <x v="795"/>
    <s v="$$$"/>
    <s v="798"/>
    <s v="0.000875479"/>
    <s v="0.00000020"/>
    <x v="778"/>
    <x v="796"/>
    <x v="776"/>
    <x v="720"/>
    <x v="403"/>
    <x v="692"/>
    <x v="477"/>
    <s v="1507352348"/>
  </r>
  <r>
    <x v="798"/>
    <x v="796"/>
    <s v="ARB"/>
    <s v="799"/>
    <s v="0.00538377"/>
    <s v="0.00000123"/>
    <x v="779"/>
    <x v="797"/>
    <x v="777"/>
    <x v="721"/>
    <x v="18"/>
    <x v="693"/>
    <x v="743"/>
    <s v="1507352346"/>
  </r>
  <r>
    <x v="799"/>
    <x v="797"/>
    <s v="TOR"/>
    <s v="800"/>
    <s v="0.125719"/>
    <s v="0.00002872"/>
    <x v="780"/>
    <x v="798"/>
    <x v="778"/>
    <x v="722"/>
    <x v="404"/>
    <x v="694"/>
    <x v="744"/>
    <s v="1507352356"/>
  </r>
  <r>
    <x v="800"/>
    <x v="798"/>
    <s v="QBK"/>
    <s v="801"/>
    <s v="0.0239946"/>
    <s v="0.00000548"/>
    <x v="781"/>
    <x v="799"/>
    <x v="779"/>
    <x v="42"/>
    <x v="290"/>
    <x v="108"/>
    <x v="199"/>
    <s v="1507352357"/>
  </r>
  <r>
    <x v="801"/>
    <x v="799"/>
    <s v="PHS"/>
    <s v="802"/>
    <s v="0.0159762"/>
    <s v="0.00000365"/>
    <x v="782"/>
    <x v="800"/>
    <x v="780"/>
    <x v="723"/>
    <x v="355"/>
    <x v="108"/>
    <x v="745"/>
    <s v="1507352341"/>
  </r>
  <r>
    <x v="802"/>
    <x v="800"/>
    <s v="MEOW"/>
    <s v="803"/>
    <s v="0.0000016136"/>
    <s v="0.0000000004"/>
    <x v="783"/>
    <x v="801"/>
    <x v="781"/>
    <x v="724"/>
    <x v="218"/>
    <x v="695"/>
    <x v="746"/>
    <s v="1507352341"/>
  </r>
  <r>
    <x v="803"/>
    <x v="801"/>
    <s v="GPL"/>
    <s v="804"/>
    <s v="0.159368"/>
    <s v="0.00003641"/>
    <x v="784"/>
    <x v="802"/>
    <x v="782"/>
    <x v="725"/>
    <x v="18"/>
    <x v="696"/>
    <x v="747"/>
    <s v="1507352357"/>
  </r>
  <r>
    <x v="804"/>
    <x v="802"/>
    <s v="CXT"/>
    <s v="805"/>
    <s v="0.00441423"/>
    <s v="0.00000101"/>
    <x v="785"/>
    <x v="803"/>
    <x v="783"/>
    <x v="726"/>
    <x v="122"/>
    <x v="697"/>
    <x v="748"/>
    <s v="1507352356"/>
  </r>
  <r>
    <x v="805"/>
    <x v="803"/>
    <s v="TAJ"/>
    <s v="806"/>
    <s v="0.00515569"/>
    <s v="0.00000118"/>
    <x v="786"/>
    <x v="804"/>
    <x v="784"/>
    <x v="727"/>
    <x v="192"/>
    <x v="698"/>
    <x v="749"/>
    <s v="1507352351"/>
  </r>
  <r>
    <x v="806"/>
    <x v="804"/>
    <s v="PULSE"/>
    <s v="807"/>
    <s v="0.00262623"/>
    <s v="0.00000060"/>
    <x v="787"/>
    <x v="805"/>
    <x v="785"/>
    <x v="728"/>
    <x v="18"/>
    <x v="108"/>
    <x v="750"/>
    <s v="1507352349"/>
  </r>
  <r>
    <x v="807"/>
    <x v="805"/>
    <s v="MND"/>
    <s v="808"/>
    <s v="0.00297639"/>
    <s v="0.00000068"/>
    <x v="788"/>
    <x v="806"/>
    <x v="786"/>
    <x v="729"/>
    <x v="18"/>
    <x v="699"/>
    <x v="751"/>
    <s v="1507352350"/>
  </r>
  <r>
    <x v="808"/>
    <x v="806"/>
    <s v="JOBS"/>
    <s v="809"/>
    <s v="0.000350164"/>
    <s v="0.00000008"/>
    <x v="789"/>
    <x v="807"/>
    <x v="787"/>
    <x v="730"/>
    <x v="18"/>
    <x v="700"/>
    <x v="752"/>
    <s v="1507352352"/>
  </r>
  <r>
    <x v="809"/>
    <x v="807"/>
    <s v="FLVR"/>
    <s v="810"/>
    <s v="0.00175082"/>
    <s v="0.00000040"/>
    <x v="790"/>
    <x v="808"/>
    <x v="788"/>
    <x v="731"/>
    <x v="18"/>
    <x v="108"/>
    <x v="17"/>
    <s v="1507352348"/>
  </r>
  <r>
    <x v="810"/>
    <x v="808"/>
    <s v="BIOS"/>
    <s v="811"/>
    <s v="0.00175082"/>
    <s v="0.00000040"/>
    <x v="791"/>
    <x v="809"/>
    <x v="789"/>
    <x v="732"/>
    <x v="43"/>
    <x v="106"/>
    <x v="753"/>
    <s v="1507352347"/>
  </r>
  <r>
    <x v="811"/>
    <x v="809"/>
    <s v="SH"/>
    <s v="812"/>
    <s v="0.00796216"/>
    <s v="0.00000182"/>
    <x v="792"/>
    <x v="810"/>
    <x v="790"/>
    <x v="733"/>
    <x v="15"/>
    <x v="624"/>
    <x v="754"/>
    <s v="1507352353"/>
  </r>
  <r>
    <x v="812"/>
    <x v="810"/>
    <s v="BVC"/>
    <s v="813"/>
    <s v="0.0110486"/>
    <s v="0.00000252"/>
    <x v="793"/>
    <x v="811"/>
    <x v="791"/>
    <x v="734"/>
    <x v="18"/>
    <x v="701"/>
    <x v="755"/>
    <s v="1507352347"/>
  </r>
  <r>
    <x v="813"/>
    <x v="811"/>
    <s v="ZYD"/>
    <s v="814"/>
    <s v="0.00547131"/>
    <s v="0.00000125"/>
    <x v="794"/>
    <x v="812"/>
    <x v="792"/>
    <x v="735"/>
    <x v="18"/>
    <x v="702"/>
    <x v="756"/>
    <s v="1507352351"/>
  </r>
  <r>
    <x v="814"/>
    <x v="812"/>
    <s v="CMT"/>
    <s v="815"/>
    <s v="0.0382055"/>
    <s v="0.00000873"/>
    <x v="795"/>
    <x v="813"/>
    <x v="793"/>
    <x v="736"/>
    <x v="117"/>
    <x v="561"/>
    <x v="757"/>
    <s v="1507352355"/>
  </r>
  <r>
    <x v="815"/>
    <x v="813"/>
    <s v="TAGR"/>
    <s v="816"/>
    <s v="0.000857939"/>
    <s v="0.00000020"/>
    <x v="576"/>
    <x v="814"/>
    <x v="794"/>
    <x v="737"/>
    <x v="355"/>
    <x v="108"/>
    <x v="17"/>
    <s v="1507052047"/>
  </r>
  <r>
    <x v="816"/>
    <x v="814"/>
    <s v="SOON"/>
    <s v="817"/>
    <s v="0.00258246"/>
    <s v="0.00000059"/>
    <x v="796"/>
    <x v="815"/>
    <x v="795"/>
    <x v="738"/>
    <x v="18"/>
    <x v="703"/>
    <x v="758"/>
    <s v="1507352346"/>
  </r>
  <r>
    <x v="817"/>
    <x v="815"/>
    <s v="STEPS"/>
    <s v="818"/>
    <s v="0.00170705"/>
    <s v="0.00000039"/>
    <x v="797"/>
    <x v="816"/>
    <x v="796"/>
    <x v="739"/>
    <x v="18"/>
    <x v="543"/>
    <x v="759"/>
    <s v="1507352348"/>
  </r>
  <r>
    <x v="818"/>
    <x v="816"/>
    <s v="CESC"/>
    <s v="819"/>
    <s v="0.000218852"/>
    <s v="0.00000005"/>
    <x v="798"/>
    <x v="817"/>
    <x v="797"/>
    <x v="740"/>
    <x v="18"/>
    <x v="704"/>
    <x v="644"/>
    <s v="1507352348"/>
  </r>
  <r>
    <x v="819"/>
    <x v="817"/>
    <s v="COAL"/>
    <s v="820"/>
    <s v="0.00700164"/>
    <s v="0.00000160"/>
    <x v="799"/>
    <x v="818"/>
    <x v="409"/>
    <x v="741"/>
    <x v="43"/>
    <x v="705"/>
    <x v="760"/>
    <s v="1507352360"/>
  </r>
  <r>
    <x v="820"/>
    <x v="818"/>
    <s v="HKG"/>
    <s v="821"/>
    <s v="0.0019259"/>
    <s v="0.00000044"/>
    <x v="800"/>
    <x v="819"/>
    <x v="798"/>
    <x v="742"/>
    <x v="43"/>
    <x v="706"/>
    <x v="761"/>
    <s v="1507352353"/>
  </r>
  <r>
    <x v="821"/>
    <x v="819"/>
    <s v="ATX"/>
    <s v="822"/>
    <s v="0.00163503"/>
    <s v="0.00000037"/>
    <x v="801"/>
    <x v="820"/>
    <x v="799"/>
    <x v="743"/>
    <x v="18"/>
    <x v="707"/>
    <x v="762"/>
    <s v="1507352351"/>
  </r>
  <r>
    <x v="822"/>
    <x v="820"/>
    <s v="PHO"/>
    <s v="823"/>
    <s v="0.0000015589"/>
    <s v="0.0000000004"/>
    <x v="802"/>
    <x v="821"/>
    <x v="800"/>
    <x v="744"/>
    <x v="260"/>
    <x v="592"/>
    <x v="763"/>
    <s v="1507352342"/>
  </r>
  <r>
    <x v="823"/>
    <x v="821"/>
    <s v="POP"/>
    <s v="824"/>
    <s v="0.0000089775"/>
    <s v="0.000000002"/>
    <x v="803"/>
    <x v="822"/>
    <x v="801"/>
    <x v="745"/>
    <x v="405"/>
    <x v="708"/>
    <x v="764"/>
    <s v="1507352343"/>
  </r>
  <r>
    <x v="824"/>
    <x v="822"/>
    <s v="TRADE"/>
    <s v="825"/>
    <s v="0.00468344"/>
    <s v="0.00000107"/>
    <x v="804"/>
    <x v="823"/>
    <x v="802"/>
    <x v="746"/>
    <x v="18"/>
    <x v="709"/>
    <x v="765"/>
    <s v="1507352359"/>
  </r>
  <r>
    <x v="825"/>
    <x v="823"/>
    <s v="CAB"/>
    <s v="826"/>
    <s v="0.00280131"/>
    <s v="0.00000064"/>
    <x v="805"/>
    <x v="824"/>
    <x v="803"/>
    <x v="747"/>
    <x v="18"/>
    <x v="710"/>
    <x v="766"/>
    <s v="1507352349"/>
  </r>
  <r>
    <x v="826"/>
    <x v="824"/>
    <s v="VIP"/>
    <s v="827"/>
    <s v="0.000350164"/>
    <s v="0.00000008"/>
    <x v="806"/>
    <x v="825"/>
    <x v="804"/>
    <x v="748"/>
    <x v="18"/>
    <x v="711"/>
    <x v="558"/>
    <s v="1507352361"/>
  </r>
  <r>
    <x v="827"/>
    <x v="825"/>
    <s v="MILO"/>
    <s v="828"/>
    <s v="0.00268938"/>
    <s v="0.00000061"/>
    <x v="807"/>
    <x v="826"/>
    <x v="805"/>
    <x v="749"/>
    <x v="406"/>
    <x v="712"/>
    <x v="767"/>
    <s v="1507352355"/>
  </r>
  <r>
    <x v="828"/>
    <x v="826"/>
    <s v="CPN"/>
    <s v="829"/>
    <s v="0.00143756"/>
    <s v="0.00000033"/>
    <x v="808"/>
    <x v="827"/>
    <x v="806"/>
    <x v="750"/>
    <x v="154"/>
    <x v="713"/>
    <x v="768"/>
    <s v="1507352346"/>
  </r>
  <r>
    <x v="829"/>
    <x v="827"/>
    <s v="XCRE"/>
    <s v="830"/>
    <s v="0.00137217"/>
    <s v="0.00000031"/>
    <x v="809"/>
    <x v="828"/>
    <x v="807"/>
    <x v="751"/>
    <x v="18"/>
    <x v="714"/>
    <x v="769"/>
    <s v="1507352353"/>
  </r>
  <r>
    <x v="830"/>
    <x v="828"/>
    <s v="KNC"/>
    <s v="831"/>
    <s v="14.0066"/>
    <s v="0.00320002"/>
    <x v="810"/>
    <x v="829"/>
    <x v="808"/>
    <x v="752"/>
    <x v="18"/>
    <x v="715"/>
    <x v="609"/>
    <s v="1507352358"/>
  </r>
  <r>
    <x v="831"/>
    <x v="829"/>
    <s v="DES"/>
    <s v="832"/>
    <s v="0.017552"/>
    <s v="0.00000401"/>
    <x v="811"/>
    <x v="830"/>
    <x v="809"/>
    <x v="753"/>
    <x v="43"/>
    <x v="108"/>
    <x v="770"/>
    <s v="1507352349"/>
  </r>
  <r>
    <x v="832"/>
    <x v="830"/>
    <s v="KRONE"/>
    <s v="833"/>
    <s v="0.0124114"/>
    <s v="0.00000284"/>
    <x v="812"/>
    <x v="831"/>
    <x v="810"/>
    <x v="754"/>
    <x v="407"/>
    <x v="183"/>
    <x v="771"/>
    <s v="1507352362"/>
  </r>
  <r>
    <x v="833"/>
    <x v="831"/>
    <s v="GBT"/>
    <s v="834"/>
    <s v="0.00131311"/>
    <s v="0.00000030"/>
    <x v="813"/>
    <x v="832"/>
    <x v="811"/>
    <x v="755"/>
    <x v="43"/>
    <x v="716"/>
    <x v="772"/>
    <s v="1507352351"/>
  </r>
  <r>
    <x v="834"/>
    <x v="832"/>
    <s v="BSTAR"/>
    <s v="835"/>
    <s v="0.0000431031"/>
    <s v="0.00000001"/>
    <x v="576"/>
    <x v="833"/>
    <x v="812"/>
    <x v="756"/>
    <x v="355"/>
    <x v="108"/>
    <x v="773"/>
    <s v="1507217053"/>
  </r>
  <r>
    <x v="835"/>
    <x v="833"/>
    <s v="LTCR"/>
    <s v="836"/>
    <s v="0.000884511"/>
    <s v="0.00000020"/>
    <x v="814"/>
    <x v="834"/>
    <x v="813"/>
    <x v="757"/>
    <x v="18"/>
    <x v="717"/>
    <x v="774"/>
    <s v="1507352351"/>
  </r>
  <r>
    <x v="836"/>
    <x v="834"/>
    <s v="LEA"/>
    <s v="837"/>
    <s v="0.0000883497"/>
    <s v="0.00000002"/>
    <x v="815"/>
    <x v="835"/>
    <x v="814"/>
    <x v="758"/>
    <x v="141"/>
    <x v="718"/>
    <x v="775"/>
    <s v="1507352348"/>
  </r>
  <r>
    <x v="837"/>
    <x v="835"/>
    <s v="ZMC"/>
    <s v="838"/>
    <s v="0.0000437705"/>
    <s v="0.00000001"/>
    <x v="816"/>
    <x v="836"/>
    <x v="815"/>
    <x v="759"/>
    <x v="18"/>
    <x v="194"/>
    <x v="670"/>
    <s v="1507352353"/>
  </r>
  <r>
    <x v="838"/>
    <x v="836"/>
    <s v="DPAY"/>
    <s v="839"/>
    <s v="0.000306393"/>
    <s v="0.00000007"/>
    <x v="817"/>
    <x v="837"/>
    <x v="816"/>
    <x v="760"/>
    <x v="18"/>
    <x v="719"/>
    <x v="776"/>
    <s v="1507352355"/>
  </r>
  <r>
    <x v="839"/>
    <x v="837"/>
    <s v="ORLY"/>
    <s v="840"/>
    <s v="0.000655516"/>
    <s v="0.00000015"/>
    <x v="576"/>
    <x v="838"/>
    <x v="817"/>
    <x v="761"/>
    <x v="355"/>
    <x v="668"/>
    <x v="777"/>
    <s v="1507342150"/>
  </r>
  <r>
    <x v="840"/>
    <x v="838"/>
    <s v="IMX"/>
    <s v="841"/>
    <s v="0.000218852"/>
    <s v="0.00000005"/>
    <x v="818"/>
    <x v="839"/>
    <x v="818"/>
    <x v="762"/>
    <x v="18"/>
    <x v="720"/>
    <x v="778"/>
    <s v="1507352356"/>
  </r>
  <r>
    <x v="841"/>
    <x v="839"/>
    <s v="RIDE"/>
    <s v="842"/>
    <s v="0.000218852"/>
    <s v="0.00000005"/>
    <x v="819"/>
    <x v="840"/>
    <x v="819"/>
    <x v="763"/>
    <x v="18"/>
    <x v="194"/>
    <x v="17"/>
    <s v="1507352355"/>
  </r>
  <r>
    <x v="842"/>
    <x v="840"/>
    <s v="DIX"/>
    <s v="843"/>
    <s v="0.0000002198"/>
    <s v="0.00000000005"/>
    <x v="820"/>
    <x v="841"/>
    <x v="820"/>
    <x v="36"/>
    <x v="79"/>
    <x v="721"/>
    <x v="779"/>
    <s v="1507352354"/>
  </r>
  <r>
    <x v="843"/>
    <x v="841"/>
    <s v="LUNA"/>
    <s v="844"/>
    <s v="0.0140633"/>
    <s v="0.00000321"/>
    <x v="821"/>
    <x v="842"/>
    <x v="821"/>
    <x v="764"/>
    <x v="18"/>
    <x v="722"/>
    <x v="780"/>
    <s v="1507352354"/>
  </r>
  <r>
    <x v="844"/>
    <x v="842"/>
    <s v="BTQ"/>
    <s v="845"/>
    <s v="0.00302016"/>
    <s v="0.00000069"/>
    <x v="822"/>
    <x v="843"/>
    <x v="822"/>
    <x v="765"/>
    <x v="408"/>
    <x v="723"/>
    <x v="781"/>
    <s v="1507352343"/>
  </r>
  <r>
    <x v="845"/>
    <x v="843"/>
    <s v="PRX"/>
    <s v="846"/>
    <s v="0.00179459"/>
    <s v="0.00000041"/>
    <x v="823"/>
    <x v="844"/>
    <x v="823"/>
    <x v="766"/>
    <x v="18"/>
    <x v="724"/>
    <x v="135"/>
    <s v="1507352354"/>
  </r>
  <r>
    <x v="846"/>
    <x v="844"/>
    <s v="BLZ"/>
    <s v="847"/>
    <s v="0.0000341655"/>
    <s v="0.000000008"/>
    <x v="824"/>
    <x v="845"/>
    <x v="824"/>
    <x v="767"/>
    <x v="409"/>
    <x v="725"/>
    <x v="782"/>
    <s v="1507352343"/>
  </r>
  <r>
    <x v="847"/>
    <x v="845"/>
    <s v="FUZZ"/>
    <s v="848"/>
    <s v="0.00415306"/>
    <s v="0.00000095"/>
    <x v="825"/>
    <x v="846"/>
    <x v="825"/>
    <x v="768"/>
    <x v="18"/>
    <x v="308"/>
    <x v="783"/>
    <s v="1507352350"/>
  </r>
  <r>
    <x v="848"/>
    <x v="846"/>
    <s v="IMPS"/>
    <s v="849"/>
    <s v="0.000962951"/>
    <s v="0.00000022"/>
    <x v="826"/>
    <x v="847"/>
    <x v="826"/>
    <x v="769"/>
    <x v="18"/>
    <x v="726"/>
    <x v="784"/>
    <s v="1507352352"/>
  </r>
  <r>
    <x v="849"/>
    <x v="847"/>
    <s v="RSGP"/>
    <s v="850"/>
    <s v="11.2945"/>
    <s v="0.0025868"/>
    <x v="576"/>
    <x v="848"/>
    <x v="827"/>
    <x v="770"/>
    <x v="355"/>
    <x v="696"/>
    <x v="785"/>
    <s v="1507331960"/>
  </r>
  <r>
    <x v="850"/>
    <x v="848"/>
    <s v="XBTS"/>
    <s v="851"/>
    <s v="0.0126934"/>
    <s v="0.00000290"/>
    <x v="827"/>
    <x v="849"/>
    <x v="828"/>
    <x v="771"/>
    <x v="18"/>
    <x v="727"/>
    <x v="786"/>
    <s v="1507352362"/>
  </r>
  <r>
    <x v="851"/>
    <x v="849"/>
    <s v="XOC"/>
    <s v="852"/>
    <s v="0.0437705"/>
    <s v="0.00001000"/>
    <x v="828"/>
    <x v="850"/>
    <x v="829"/>
    <x v="772"/>
    <x v="18"/>
    <x v="728"/>
    <x v="17"/>
    <s v="1507352354"/>
  </r>
  <r>
    <x v="852"/>
    <x v="850"/>
    <s v="IBANK"/>
    <s v="853"/>
    <s v="0.00403478"/>
    <s v="0.00000092"/>
    <x v="576"/>
    <x v="851"/>
    <x v="830"/>
    <x v="773"/>
    <x v="355"/>
    <x v="729"/>
    <x v="787"/>
    <s v="1507307958"/>
  </r>
  <r>
    <x v="853"/>
    <x v="851"/>
    <s v="SOCC"/>
    <s v="854"/>
    <s v="0.0129561"/>
    <s v="0.00000296"/>
    <x v="829"/>
    <x v="852"/>
    <x v="831"/>
    <x v="774"/>
    <x v="18"/>
    <x v="512"/>
    <x v="788"/>
    <s v="1507352359"/>
  </r>
  <r>
    <x v="854"/>
    <x v="852"/>
    <s v="HVCO"/>
    <s v="855"/>
    <s v="0.0116867"/>
    <s v="0.00000267"/>
    <x v="830"/>
    <x v="853"/>
    <x v="832"/>
    <x v="775"/>
    <x v="18"/>
    <x v="730"/>
    <x v="789"/>
    <s v="1507352350"/>
  </r>
  <r>
    <x v="855"/>
    <x v="853"/>
    <s v="MTLMC3"/>
    <s v="856"/>
    <s v="0.000218852"/>
    <s v="0.00000005"/>
    <x v="831"/>
    <x v="854"/>
    <x v="833"/>
    <x v="776"/>
    <x v="43"/>
    <x v="731"/>
    <x v="790"/>
    <s v="1507352346"/>
  </r>
  <r>
    <x v="856"/>
    <x v="854"/>
    <s v="REV"/>
    <s v="857"/>
    <s v="0.014488"/>
    <s v="0.00000331"/>
    <x v="832"/>
    <x v="855"/>
    <x v="834"/>
    <x v="777"/>
    <x v="18"/>
    <x v="732"/>
    <x v="791"/>
    <s v="1507352349"/>
  </r>
  <r>
    <x v="857"/>
    <x v="855"/>
    <s v="DLISK"/>
    <s v="858"/>
    <s v="0.000171692"/>
    <s v="0.00000004"/>
    <x v="576"/>
    <x v="856"/>
    <x v="16"/>
    <x v="7"/>
    <x v="355"/>
    <x v="108"/>
    <x v="17"/>
    <s v="1507043651"/>
  </r>
  <r>
    <x v="858"/>
    <x v="856"/>
    <s v="WEX"/>
    <s v="859"/>
    <s v="0.0686759"/>
    <s v="0.00001569"/>
    <x v="833"/>
    <x v="857"/>
    <x v="835"/>
    <x v="778"/>
    <x v="18"/>
    <x v="733"/>
    <x v="792"/>
    <s v="1507352352"/>
  </r>
  <r>
    <x v="859"/>
    <x v="857"/>
    <s v="SONG"/>
    <s v="860"/>
    <s v="0.000525618"/>
    <s v="0.00000012"/>
    <x v="834"/>
    <x v="858"/>
    <x v="836"/>
    <x v="779"/>
    <x v="210"/>
    <x v="679"/>
    <x v="793"/>
    <s v="1507352362"/>
  </r>
  <r>
    <x v="860"/>
    <x v="858"/>
    <s v="1CR"/>
    <s v="861"/>
    <s v="0.19399"/>
    <s v="0.00004500"/>
    <x v="576"/>
    <x v="859"/>
    <x v="837"/>
    <x v="780"/>
    <x v="355"/>
    <x v="108"/>
    <x v="794"/>
    <s v="1507014255"/>
  </r>
  <r>
    <x v="861"/>
    <x v="859"/>
    <s v="CASH"/>
    <s v="862"/>
    <s v="0.000612787"/>
    <s v="0.00000014"/>
    <x v="835"/>
    <x v="860"/>
    <x v="838"/>
    <x v="781"/>
    <x v="410"/>
    <x v="734"/>
    <x v="795"/>
    <s v="1507352342"/>
  </r>
  <r>
    <x v="862"/>
    <x v="860"/>
    <s v="CRT"/>
    <s v="863"/>
    <s v="0.210098"/>
    <s v="0.00004800"/>
    <x v="836"/>
    <x v="861"/>
    <x v="839"/>
    <x v="782"/>
    <x v="18"/>
    <x v="543"/>
    <x v="670"/>
    <s v="1507352343"/>
  </r>
  <r>
    <x v="863"/>
    <x v="861"/>
    <s v="G3N"/>
    <s v="864"/>
    <s v="0.00218851"/>
    <s v="0.00000050"/>
    <x v="837"/>
    <x v="862"/>
    <x v="840"/>
    <x v="783"/>
    <x v="18"/>
    <x v="735"/>
    <x v="796"/>
    <s v="1507352346"/>
  </r>
  <r>
    <x v="864"/>
    <x v="862"/>
    <s v="CONX"/>
    <s v="865"/>
    <s v="0.0212725"/>
    <s v="0.00000486"/>
    <x v="838"/>
    <x v="863"/>
    <x v="841"/>
    <x v="784"/>
    <x v="18"/>
    <x v="84"/>
    <x v="797"/>
    <s v="1507352356"/>
  </r>
  <r>
    <x v="865"/>
    <x v="863"/>
    <s v="BSC"/>
    <s v="866"/>
    <s v="0.00284508"/>
    <s v="0.00000065"/>
    <x v="839"/>
    <x v="864"/>
    <x v="842"/>
    <x v="785"/>
    <x v="18"/>
    <x v="108"/>
    <x v="798"/>
    <s v="1507352360"/>
  </r>
  <r>
    <x v="866"/>
    <x v="864"/>
    <s v="EGO"/>
    <s v="867"/>
    <s v="0.000262623"/>
    <s v="0.00000006"/>
    <x v="840"/>
    <x v="865"/>
    <x v="843"/>
    <x v="786"/>
    <x v="18"/>
    <x v="736"/>
    <x v="799"/>
    <s v="1507352352"/>
  </r>
  <r>
    <x v="867"/>
    <x v="865"/>
    <s v="BIOB"/>
    <s v="868"/>
    <s v="0.0173662"/>
    <s v="0.00000399"/>
    <x v="576"/>
    <x v="866"/>
    <x v="844"/>
    <x v="787"/>
    <x v="355"/>
    <x v="108"/>
    <x v="800"/>
    <s v="1507238355"/>
  </r>
  <r>
    <x v="868"/>
    <x v="866"/>
    <s v="PEX"/>
    <s v="869"/>
    <s v="0.00626385"/>
    <s v="0.00000142"/>
    <x v="576"/>
    <x v="867"/>
    <x v="845"/>
    <x v="788"/>
    <x v="355"/>
    <x v="737"/>
    <x v="801"/>
    <s v="1507280651"/>
  </r>
  <r>
    <x v="869"/>
    <x v="867"/>
    <s v="SLEVIN"/>
    <s v="870"/>
    <s v="0.000218852"/>
    <s v="0.00000005"/>
    <x v="841"/>
    <x v="868"/>
    <x v="139"/>
    <x v="32"/>
    <x v="18"/>
    <x v="258"/>
    <x v="670"/>
    <s v="1507352359"/>
  </r>
  <r>
    <x v="870"/>
    <x v="868"/>
    <s v="DOLLAR"/>
    <s v="871"/>
    <s v="0.0196967"/>
    <s v="0.00000450"/>
    <x v="842"/>
    <x v="869"/>
    <x v="846"/>
    <x v="789"/>
    <x v="18"/>
    <x v="738"/>
    <x v="802"/>
    <s v="1507352353"/>
  </r>
  <r>
    <x v="871"/>
    <x v="869"/>
    <s v="VPRC"/>
    <s v="872"/>
    <s v="0.0000187951"/>
    <s v="0.000000004"/>
    <x v="843"/>
    <x v="870"/>
    <x v="847"/>
    <x v="790"/>
    <x v="63"/>
    <x v="739"/>
    <x v="803"/>
    <s v="1507352351"/>
  </r>
  <r>
    <x v="872"/>
    <x v="870"/>
    <s v="OFF"/>
    <s v="873"/>
    <s v="0.00542754"/>
    <s v="0.00000124"/>
    <x v="844"/>
    <x v="871"/>
    <x v="848"/>
    <x v="791"/>
    <x v="18"/>
    <x v="740"/>
    <x v="804"/>
    <s v="1507352347"/>
  </r>
  <r>
    <x v="873"/>
    <x v="871"/>
    <s v="OS76"/>
    <s v="874"/>
    <s v="0.0158011"/>
    <s v="0.00000361"/>
    <x v="845"/>
    <x v="872"/>
    <x v="849"/>
    <x v="792"/>
    <x v="18"/>
    <x v="177"/>
    <x v="805"/>
    <s v="1507352353"/>
  </r>
  <r>
    <x v="874"/>
    <x v="872"/>
    <s v="SCS"/>
    <s v="875"/>
    <s v="0.0535751"/>
    <s v="0.00001224"/>
    <x v="846"/>
    <x v="873"/>
    <x v="850"/>
    <x v="793"/>
    <x v="18"/>
    <x v="251"/>
    <x v="806"/>
    <s v="1507352356"/>
  </r>
  <r>
    <x v="875"/>
    <x v="873"/>
    <s v="SANDG"/>
    <s v="876"/>
    <s v="0.00422647"/>
    <s v="0.00000100"/>
    <x v="576"/>
    <x v="874"/>
    <x v="851"/>
    <x v="794"/>
    <x v="355"/>
    <x v="108"/>
    <x v="807"/>
    <s v="1507121348"/>
  </r>
  <r>
    <x v="876"/>
    <x v="874"/>
    <s v="BNX"/>
    <s v="877"/>
    <s v="0.000525243"/>
    <s v="0.00000012"/>
    <x v="847"/>
    <x v="875"/>
    <x v="852"/>
    <x v="795"/>
    <x v="18"/>
    <x v="741"/>
    <x v="808"/>
    <s v="1507352359"/>
  </r>
  <r>
    <x v="877"/>
    <x v="875"/>
    <s v="CCM100"/>
    <s v="878"/>
    <s v="0.00348001"/>
    <s v="0.00000080"/>
    <x v="848"/>
    <x v="876"/>
    <x v="853"/>
    <x v="796"/>
    <x v="411"/>
    <x v="742"/>
    <x v="809"/>
    <s v="1507352355"/>
  </r>
  <r>
    <x v="878"/>
    <x v="876"/>
    <s v="GEERT"/>
    <s v="879"/>
    <s v="0.0021889"/>
    <s v="0.00000050"/>
    <x v="576"/>
    <x v="877"/>
    <x v="854"/>
    <x v="797"/>
    <x v="355"/>
    <x v="743"/>
    <x v="810"/>
    <s v="1507332255"/>
  </r>
  <r>
    <x v="879"/>
    <x v="877"/>
    <s v="ZNE"/>
    <s v="880"/>
    <s v="0.0041582"/>
    <s v="0.00000095"/>
    <x v="849"/>
    <x v="878"/>
    <x v="855"/>
    <x v="798"/>
    <x v="18"/>
    <x v="108"/>
    <x v="811"/>
    <s v="1507352352"/>
  </r>
  <r>
    <x v="880"/>
    <x v="878"/>
    <s v="SDP"/>
    <s v="881"/>
    <s v="0.0565515"/>
    <s v="0.00001292"/>
    <x v="850"/>
    <x v="879"/>
    <x v="856"/>
    <x v="799"/>
    <x v="18"/>
    <x v="744"/>
    <x v="17"/>
    <s v="1507352362"/>
  </r>
  <r>
    <x v="881"/>
    <x v="879"/>
    <s v="ARGUS"/>
    <s v="882"/>
    <s v="0.00781901"/>
    <s v="0.00000179"/>
    <x v="851"/>
    <x v="880"/>
    <x v="857"/>
    <x v="800"/>
    <x v="18"/>
    <x v="745"/>
    <x v="812"/>
    <s v="1507352355"/>
  </r>
  <r>
    <x v="882"/>
    <x v="880"/>
    <s v="VOLT"/>
    <s v="883"/>
    <s v="0.000569016"/>
    <s v="0.00000013"/>
    <x v="852"/>
    <x v="881"/>
    <x v="858"/>
    <x v="801"/>
    <x v="18"/>
    <x v="746"/>
    <x v="813"/>
    <s v="1507352357"/>
  </r>
  <r>
    <x v="883"/>
    <x v="881"/>
    <s v="BQC"/>
    <s v="884"/>
    <s v="0.000156137"/>
    <s v="0.00000004"/>
    <x v="853"/>
    <x v="882"/>
    <x v="859"/>
    <x v="802"/>
    <x v="412"/>
    <x v="747"/>
    <x v="814"/>
    <s v="1507352340"/>
  </r>
  <r>
    <x v="884"/>
    <x v="882"/>
    <s v="P7C"/>
    <s v="885"/>
    <s v="0.000218852"/>
    <s v="0.00000005"/>
    <x v="854"/>
    <x v="883"/>
    <x v="860"/>
    <x v="803"/>
    <x v="43"/>
    <x v="748"/>
    <x v="815"/>
    <s v="1507352346"/>
  </r>
  <r>
    <x v="885"/>
    <x v="883"/>
    <s v="NODC"/>
    <s v="886"/>
    <s v="0.00437705"/>
    <s v="0.00000100"/>
    <x v="855"/>
    <x v="884"/>
    <x v="861"/>
    <x v="804"/>
    <x v="18"/>
    <x v="179"/>
    <x v="816"/>
    <s v="1507352353"/>
  </r>
  <r>
    <x v="886"/>
    <x v="884"/>
    <s v="JIO"/>
    <s v="887"/>
    <s v="0.00380803"/>
    <s v="0.00000087"/>
    <x v="856"/>
    <x v="885"/>
    <x v="862"/>
    <x v="805"/>
    <x v="18"/>
    <x v="749"/>
    <x v="817"/>
    <s v="1507352353"/>
  </r>
  <r>
    <x v="887"/>
    <x v="885"/>
    <s v="XRC"/>
    <s v="888"/>
    <s v="0.00994713"/>
    <s v="0.00000227"/>
    <x v="857"/>
    <x v="886"/>
    <x v="863"/>
    <x v="806"/>
    <x v="18"/>
    <x v="253"/>
    <x v="818"/>
    <s v="1507352354"/>
  </r>
  <r>
    <x v="888"/>
    <x v="886"/>
    <s v="OCEAN"/>
    <s v="889"/>
    <s v="0.030873"/>
    <s v="0.00000705"/>
    <x v="858"/>
    <x v="887"/>
    <x v="864"/>
    <x v="52"/>
    <x v="290"/>
    <x v="750"/>
    <x v="819"/>
    <s v="1507352355"/>
  </r>
  <r>
    <x v="889"/>
    <x v="887"/>
    <s v="SOJ"/>
    <s v="890"/>
    <s v="0.0126934"/>
    <s v="0.00000290"/>
    <x v="859"/>
    <x v="888"/>
    <x v="865"/>
    <x v="807"/>
    <x v="18"/>
    <x v="751"/>
    <x v="820"/>
    <s v="1507352362"/>
  </r>
  <r>
    <x v="890"/>
    <x v="888"/>
    <s v="ELS"/>
    <s v="891"/>
    <s v="0.00126934"/>
    <s v="0.00000029"/>
    <x v="860"/>
    <x v="889"/>
    <x v="866"/>
    <x v="808"/>
    <x v="18"/>
    <x v="752"/>
    <x v="821"/>
    <s v="1507352362"/>
  </r>
  <r>
    <x v="891"/>
    <x v="889"/>
    <s v="SLFI"/>
    <s v="892"/>
    <s v="0.0000435036"/>
    <s v="0.00000001"/>
    <x v="576"/>
    <x v="890"/>
    <x v="867"/>
    <x v="809"/>
    <x v="355"/>
    <x v="753"/>
    <x v="822"/>
    <s v="1507316349"/>
  </r>
  <r>
    <x v="892"/>
    <x v="890"/>
    <s v="XNG"/>
    <s v="893"/>
    <s v="0.249054"/>
    <s v="0.00005690"/>
    <x v="861"/>
    <x v="891"/>
    <x v="868"/>
    <x v="810"/>
    <x v="18"/>
    <x v="754"/>
    <x v="823"/>
    <s v="1507352350"/>
  </r>
  <r>
    <x v="893"/>
    <x v="891"/>
    <s v="MNC"/>
    <s v="894"/>
    <s v="0.000787869"/>
    <s v="0.00000018"/>
    <x v="862"/>
    <x v="892"/>
    <x v="869"/>
    <x v="811"/>
    <x v="18"/>
    <x v="755"/>
    <x v="824"/>
    <s v="1507352360"/>
  </r>
  <r>
    <x v="894"/>
    <x v="892"/>
    <s v="DRAGON"/>
    <s v="895"/>
    <s v="0.00798198"/>
    <s v="0.00000189"/>
    <x v="576"/>
    <x v="893"/>
    <x v="870"/>
    <x v="52"/>
    <x v="355"/>
    <x v="108"/>
    <x v="825"/>
    <s v="1507113256"/>
  </r>
  <r>
    <x v="895"/>
    <x v="893"/>
    <s v="LEX"/>
    <s v="896"/>
    <s v="0.00248744"/>
    <s v="0.00000057"/>
    <x v="863"/>
    <x v="894"/>
    <x v="623"/>
    <x v="638"/>
    <x v="290"/>
    <x v="756"/>
    <x v="826"/>
    <s v="1507352355"/>
  </r>
  <r>
    <x v="896"/>
    <x v="894"/>
    <s v="CF"/>
    <s v="897"/>
    <s v="0.0218415"/>
    <s v="0.00000499"/>
    <x v="864"/>
    <x v="895"/>
    <x v="871"/>
    <x v="812"/>
    <x v="18"/>
    <x v="194"/>
    <x v="827"/>
    <s v="1507352346"/>
  </r>
  <r>
    <x v="897"/>
    <x v="895"/>
    <s v="PIZZA"/>
    <s v="898"/>
    <s v="0.00174901"/>
    <s v="0.00000040"/>
    <x v="576"/>
    <x v="896"/>
    <x v="872"/>
    <x v="813"/>
    <x v="355"/>
    <x v="757"/>
    <x v="828"/>
    <s v="1507340051"/>
  </r>
  <r>
    <x v="898"/>
    <x v="896"/>
    <s v="PWR"/>
    <s v="899"/>
    <s v="0.0000437705"/>
    <s v="0.00000001"/>
    <x v="865"/>
    <x v="897"/>
    <x v="873"/>
    <x v="814"/>
    <x v="18"/>
    <x v="194"/>
    <x v="670"/>
    <s v="1507352350"/>
  </r>
  <r>
    <x v="899"/>
    <x v="897"/>
    <s v="MUG"/>
    <s v="900"/>
    <s v="0.00143967"/>
    <s v="0.00000033"/>
    <x v="866"/>
    <x v="898"/>
    <x v="623"/>
    <x v="52"/>
    <x v="388"/>
    <x v="684"/>
    <x v="17"/>
    <s v="1507352354"/>
  </r>
  <r>
    <x v="900"/>
    <x v="898"/>
    <s v="DGCS"/>
    <s v="901"/>
    <s v="0.000130466"/>
    <s v="0.00000003"/>
    <x v="576"/>
    <x v="899"/>
    <x v="874"/>
    <x v="815"/>
    <x v="355"/>
    <x v="758"/>
    <x v="829"/>
    <s v="1507268361"/>
  </r>
  <r>
    <x v="901"/>
    <x v="899"/>
    <s v="ABN"/>
    <s v="902"/>
    <s v="0.0107675"/>
    <s v="0.00000246"/>
    <x v="867"/>
    <x v="900"/>
    <x v="875"/>
    <x v="816"/>
    <x v="18"/>
    <x v="759"/>
    <x v="830"/>
    <s v="1507352354"/>
  </r>
  <r>
    <x v="902"/>
    <x v="900"/>
    <s v="ENV"/>
    <s v="903"/>
    <s v="0.0000041569"/>
    <s v="0.0000000009"/>
    <x v="868"/>
    <x v="901"/>
    <x v="876"/>
    <x v="817"/>
    <x v="58"/>
    <x v="760"/>
    <x v="831"/>
    <s v="1507352357"/>
  </r>
  <r>
    <x v="903"/>
    <x v="901"/>
    <s v="FDC"/>
    <s v="904"/>
    <s v="0.0000969760"/>
    <s v="0.00000002"/>
    <x v="869"/>
    <x v="902"/>
    <x v="877"/>
    <x v="818"/>
    <x v="413"/>
    <x v="761"/>
    <x v="832"/>
    <s v="1507352363"/>
  </r>
  <r>
    <x v="904"/>
    <x v="902"/>
    <s v="XEN"/>
    <s v="905"/>
    <s v="0.0105428"/>
    <s v="0.00000240"/>
    <x v="576"/>
    <x v="903"/>
    <x v="878"/>
    <x v="819"/>
    <x v="355"/>
    <x v="108"/>
    <x v="833"/>
    <s v="1506993258"/>
  </r>
  <r>
    <x v="905"/>
    <x v="903"/>
    <s v="CALC"/>
    <s v="906"/>
    <s v="0.00100729"/>
    <s v="0.00000023"/>
    <x v="870"/>
    <x v="904"/>
    <x v="879"/>
    <x v="820"/>
    <x v="203"/>
    <x v="762"/>
    <x v="834"/>
    <s v="1507352352"/>
  </r>
  <r>
    <x v="906"/>
    <x v="904"/>
    <s v="DMC"/>
    <s v="907"/>
    <s v="1.00001"/>
    <s v="0.00022847"/>
    <x v="871"/>
    <x v="905"/>
    <x v="880"/>
    <x v="821"/>
    <x v="414"/>
    <x v="763"/>
    <x v="835"/>
    <s v="1507352352"/>
  </r>
  <r>
    <x v="907"/>
    <x v="905"/>
    <s v="INF"/>
    <s v="908"/>
    <s v="0.00766335"/>
    <s v="0.00000175"/>
    <x v="872"/>
    <x v="905"/>
    <x v="880"/>
    <x v="822"/>
    <x v="415"/>
    <x v="764"/>
    <x v="630"/>
    <s v="1507352361"/>
  </r>
  <r>
    <x v="908"/>
    <x v="906"/>
    <s v="FRGC"/>
    <s v="909"/>
    <s v="8.3"/>
    <s v="0.00189626"/>
    <x v="873"/>
    <x v="905"/>
    <x v="880"/>
    <x v="823"/>
    <x v="414"/>
    <x v="763"/>
    <x v="836"/>
    <s v="1507352356"/>
  </r>
  <r>
    <x v="909"/>
    <x v="907"/>
    <s v="XTZ"/>
    <s v="910"/>
    <s v="2.23257"/>
    <s v="0.00051006"/>
    <x v="874"/>
    <x v="905"/>
    <x v="880"/>
    <x v="822"/>
    <x v="165"/>
    <x v="765"/>
    <x v="17"/>
    <s v="1507352364"/>
  </r>
  <r>
    <x v="910"/>
    <x v="908"/>
    <s v="KLN"/>
    <s v="911"/>
    <s v="1.54936"/>
    <s v="0.00035397"/>
    <x v="875"/>
    <x v="905"/>
    <x v="880"/>
    <x v="822"/>
    <x v="30"/>
    <x v="47"/>
    <x v="837"/>
    <s v="1507352363"/>
  </r>
  <r>
    <x v="911"/>
    <x v="909"/>
    <s v="EBST"/>
    <s v="912"/>
    <s v="0.145668"/>
    <s v="0.00003328"/>
    <x v="876"/>
    <x v="905"/>
    <x v="880"/>
    <x v="824"/>
    <x v="137"/>
    <x v="463"/>
    <x v="838"/>
    <s v="1507352357"/>
  </r>
  <r>
    <x v="912"/>
    <x v="910"/>
    <s v="MSD"/>
    <s v="913"/>
    <s v="0.0612787"/>
    <s v="0.00001400"/>
    <x v="877"/>
    <x v="905"/>
    <x v="880"/>
    <x v="822"/>
    <x v="416"/>
    <x v="766"/>
    <x v="17"/>
    <s v="1507352363"/>
  </r>
  <r>
    <x v="913"/>
    <x v="911"/>
    <s v="XBG"/>
    <s v="914"/>
    <s v="0.00621541"/>
    <s v="0.00000142"/>
    <x v="878"/>
    <x v="905"/>
    <x v="880"/>
    <x v="825"/>
    <x v="68"/>
    <x v="767"/>
    <x v="839"/>
    <s v="1507352357"/>
  </r>
  <r>
    <x v="914"/>
    <x v="912"/>
    <s v="ORME"/>
    <s v="915"/>
    <s v="0.680832"/>
    <s v="0.00015555"/>
    <x v="879"/>
    <x v="905"/>
    <x v="880"/>
    <x v="41"/>
    <x v="140"/>
    <x v="768"/>
    <x v="840"/>
    <s v="1507352364"/>
  </r>
  <r>
    <x v="915"/>
    <x v="913"/>
    <s v="HNC"/>
    <s v="916"/>
    <s v="0.0109426"/>
    <s v="0.00000250"/>
    <x v="880"/>
    <x v="905"/>
    <x v="880"/>
    <x v="826"/>
    <x v="417"/>
    <x v="769"/>
    <x v="841"/>
    <s v="1507352358"/>
  </r>
  <r>
    <x v="916"/>
    <x v="914"/>
    <s v="XID"/>
    <s v="917"/>
    <s v="0.291777"/>
    <s v="0.00006666"/>
    <x v="881"/>
    <x v="905"/>
    <x v="880"/>
    <x v="827"/>
    <x v="203"/>
    <x v="124"/>
    <x v="842"/>
    <s v="1507352359"/>
  </r>
  <r>
    <x v="917"/>
    <x v="915"/>
    <s v="GBG"/>
    <s v="918"/>
    <s v="0.084106"/>
    <s v="0.00001922"/>
    <x v="882"/>
    <x v="905"/>
    <x v="880"/>
    <x v="822"/>
    <x v="377"/>
    <x v="770"/>
    <x v="843"/>
    <s v="1507352356"/>
  </r>
  <r>
    <x v="918"/>
    <x v="916"/>
    <s v="MINEX"/>
    <s v="919"/>
    <s v="0.0345787"/>
    <s v="0.00000790"/>
    <x v="883"/>
    <x v="905"/>
    <x v="880"/>
    <x v="229"/>
    <x v="224"/>
    <x v="771"/>
    <x v="17"/>
    <s v="1507352361"/>
  </r>
  <r>
    <x v="919"/>
    <x v="917"/>
    <s v="SJCX"/>
    <s v="920"/>
    <s v="0.552909"/>
    <s v="0.00012632"/>
    <x v="884"/>
    <x v="905"/>
    <x v="880"/>
    <x v="83"/>
    <x v="418"/>
    <x v="772"/>
    <x v="844"/>
    <s v="1507352346"/>
  </r>
  <r>
    <x v="920"/>
    <x v="918"/>
    <s v="COB"/>
    <s v="921"/>
    <s v="0.0668589"/>
    <s v="0.00001527"/>
    <x v="885"/>
    <x v="905"/>
    <x v="880"/>
    <x v="25"/>
    <x v="419"/>
    <x v="773"/>
    <x v="17"/>
    <s v="1507352363"/>
  </r>
  <r>
    <x v="921"/>
    <x v="919"/>
    <s v="INDIA"/>
    <s v="922"/>
    <s v="0.000612787"/>
    <s v="0.00000014"/>
    <x v="886"/>
    <x v="905"/>
    <x v="880"/>
    <x v="822"/>
    <x v="420"/>
    <x v="774"/>
    <x v="845"/>
    <s v="1507352364"/>
  </r>
  <r>
    <x v="922"/>
    <x v="920"/>
    <s v="BLN"/>
    <s v="923"/>
    <s v="0.052507"/>
    <s v="0.00001200"/>
    <x v="887"/>
    <x v="905"/>
    <x v="880"/>
    <x v="45"/>
    <x v="421"/>
    <x v="775"/>
    <x v="846"/>
    <s v="1507352362"/>
  </r>
  <r>
    <x v="923"/>
    <x v="921"/>
    <s v="GOKU"/>
    <s v="924"/>
    <s v="0.0178776"/>
    <s v="0.00000408"/>
    <x v="888"/>
    <x v="905"/>
    <x v="880"/>
    <x v="828"/>
    <x v="422"/>
    <x v="776"/>
    <x v="847"/>
    <s v="1507352364"/>
  </r>
  <r>
    <x v="924"/>
    <x v="922"/>
    <s v="DFS"/>
    <s v="925"/>
    <s v="0.0337755"/>
    <s v="0.00000772"/>
    <x v="889"/>
    <x v="905"/>
    <x v="880"/>
    <x v="829"/>
    <x v="423"/>
    <x v="777"/>
    <x v="848"/>
    <s v="1507352364"/>
  </r>
  <r>
    <x v="925"/>
    <x v="923"/>
    <s v="NAMO"/>
    <s v="926"/>
    <s v="0.000306405"/>
    <s v="0.00000007"/>
    <x v="890"/>
    <x v="905"/>
    <x v="880"/>
    <x v="830"/>
    <x v="58"/>
    <x v="778"/>
    <x v="849"/>
    <s v="1507352362"/>
  </r>
  <r>
    <x v="926"/>
    <x v="924"/>
    <s v="XTD"/>
    <s v="927"/>
    <s v="0.000131311"/>
    <s v="0.00000003"/>
    <x v="891"/>
    <x v="905"/>
    <x v="880"/>
    <x v="822"/>
    <x v="43"/>
    <x v="779"/>
    <x v="850"/>
    <s v="1507352361"/>
  </r>
  <r>
    <x v="927"/>
    <x v="925"/>
    <s v="DEUS"/>
    <s v="928"/>
    <s v="0.511414"/>
    <s v="0.00011684"/>
    <x v="892"/>
    <x v="905"/>
    <x v="880"/>
    <x v="822"/>
    <x v="212"/>
    <x v="780"/>
    <x v="851"/>
    <s v="1507352357"/>
  </r>
  <r>
    <x v="928"/>
    <x v="926"/>
    <s v="MGC"/>
    <s v="929"/>
    <s v="0.00411443"/>
    <s v="0.00000094"/>
    <x v="893"/>
    <x v="905"/>
    <x v="880"/>
    <x v="604"/>
    <x v="424"/>
    <x v="437"/>
    <x v="852"/>
    <s v="1507352359"/>
  </r>
  <r>
    <x v="929"/>
    <x v="927"/>
    <s v="LDCN"/>
    <s v="930"/>
    <s v="0.00275596"/>
    <s v="0.00000063"/>
    <x v="894"/>
    <x v="905"/>
    <x v="880"/>
    <x v="831"/>
    <x v="18"/>
    <x v="781"/>
    <x v="853"/>
    <s v="1507352356"/>
  </r>
  <r>
    <x v="930"/>
    <x v="928"/>
    <s v="ATM"/>
    <s v="931"/>
    <s v="0.0276902"/>
    <s v="0.00000633"/>
    <x v="895"/>
    <x v="905"/>
    <x v="880"/>
    <x v="144"/>
    <x v="163"/>
    <x v="782"/>
    <x v="17"/>
    <s v="1507352363"/>
  </r>
  <r>
    <x v="931"/>
    <x v="929"/>
    <s v="COLX"/>
    <s v="932"/>
    <s v="0.000132039"/>
    <s v="0.00000003"/>
    <x v="896"/>
    <x v="905"/>
    <x v="880"/>
    <x v="822"/>
    <x v="425"/>
    <x v="783"/>
    <x v="854"/>
    <s v="1507352363"/>
  </r>
  <r>
    <x v="932"/>
    <x v="930"/>
    <s v="BQ"/>
    <s v="933"/>
    <s v="0.0180371"/>
    <s v="0.00000412"/>
    <x v="897"/>
    <x v="905"/>
    <x v="880"/>
    <x v="144"/>
    <x v="426"/>
    <x v="784"/>
    <x v="855"/>
    <s v="1507352361"/>
  </r>
  <r>
    <x v="933"/>
    <x v="931"/>
    <s v="TZC"/>
    <s v="934"/>
    <s v="0.0195216"/>
    <s v="0.00000446"/>
    <x v="898"/>
    <x v="905"/>
    <x v="880"/>
    <x v="832"/>
    <x v="4"/>
    <x v="785"/>
    <x v="856"/>
    <s v="1507352363"/>
  </r>
  <r>
    <x v="934"/>
    <x v="932"/>
    <s v="BUZZ"/>
    <s v="935"/>
    <s v="0.000559952"/>
    <s v="0.00000013"/>
    <x v="899"/>
    <x v="905"/>
    <x v="880"/>
    <x v="833"/>
    <x v="427"/>
    <x v="786"/>
    <x v="857"/>
    <s v="1507352362"/>
  </r>
  <r>
    <x v="935"/>
    <x v="933"/>
    <s v="CLUB"/>
    <s v="936"/>
    <s v="0.372652"/>
    <s v="0.00008514"/>
    <x v="900"/>
    <x v="905"/>
    <x v="880"/>
    <x v="834"/>
    <x v="18"/>
    <x v="787"/>
    <x v="858"/>
    <s v="1507352348"/>
  </r>
  <r>
    <x v="936"/>
    <x v="934"/>
    <s v="XIN"/>
    <s v="937"/>
    <s v="0.0187381"/>
    <s v="0.00000428"/>
    <x v="901"/>
    <x v="905"/>
    <x v="880"/>
    <x v="835"/>
    <x v="203"/>
    <x v="643"/>
    <x v="17"/>
    <s v="1507352364"/>
  </r>
  <r>
    <x v="937"/>
    <x v="935"/>
    <s v="RHOC"/>
    <s v="938"/>
    <s v="0.210599"/>
    <s v="0.00004811"/>
    <x v="902"/>
    <x v="905"/>
    <x v="880"/>
    <x v="822"/>
    <x v="428"/>
    <x v="108"/>
    <x v="17"/>
    <s v="1507352364"/>
  </r>
  <r>
    <x v="938"/>
    <x v="936"/>
    <s v="THS"/>
    <s v="939"/>
    <s v="0.531154"/>
    <s v="0.00012135"/>
    <x v="903"/>
    <x v="905"/>
    <x v="880"/>
    <x v="836"/>
    <x v="203"/>
    <x v="788"/>
    <x v="859"/>
    <s v="1507352352"/>
  </r>
  <r>
    <x v="939"/>
    <x v="937"/>
    <s v="AURS"/>
    <s v="940"/>
    <s v="3.70929"/>
    <s v="0.00084744"/>
    <x v="904"/>
    <x v="905"/>
    <x v="880"/>
    <x v="822"/>
    <x v="429"/>
    <x v="789"/>
    <x v="860"/>
    <s v="1507352362"/>
  </r>
  <r>
    <x v="940"/>
    <x v="938"/>
    <s v="YOYOW"/>
    <s v="941"/>
    <s v="0.0437313"/>
    <s v="0.00000999"/>
    <x v="905"/>
    <x v="905"/>
    <x v="880"/>
    <x v="837"/>
    <x v="377"/>
    <x v="155"/>
    <x v="861"/>
    <s v="1507352361"/>
  </r>
  <r>
    <x v="941"/>
    <x v="939"/>
    <s v="IND"/>
    <s v="942"/>
    <s v="0.117113"/>
    <s v="0.00002676"/>
    <x v="906"/>
    <x v="905"/>
    <x v="880"/>
    <x v="838"/>
    <x v="430"/>
    <x v="790"/>
    <x v="862"/>
    <s v="1507352363"/>
  </r>
  <r>
    <x v="942"/>
    <x v="940"/>
    <s v="MCR"/>
    <s v="943"/>
    <s v="4.95337"/>
    <s v="0.00113167"/>
    <x v="907"/>
    <x v="905"/>
    <x v="880"/>
    <x v="839"/>
    <x v="431"/>
    <x v="467"/>
    <x v="17"/>
    <s v="1507352364"/>
  </r>
  <r>
    <x v="943"/>
    <x v="941"/>
    <s v="UGT"/>
    <s v="944"/>
    <s v="0.292285"/>
    <s v="0.00006678"/>
    <x v="908"/>
    <x v="905"/>
    <x v="880"/>
    <x v="822"/>
    <x v="432"/>
    <x v="791"/>
    <x v="863"/>
    <s v="1507352362"/>
  </r>
  <r>
    <x v="944"/>
    <x v="942"/>
    <s v="WHL"/>
    <s v="945"/>
    <s v="0.262623"/>
    <s v="0.00006000"/>
    <x v="909"/>
    <x v="905"/>
    <x v="880"/>
    <x v="822"/>
    <x v="433"/>
    <x v="108"/>
    <x v="17"/>
    <s v="1507352364"/>
  </r>
  <r>
    <x v="945"/>
    <x v="943"/>
    <s v="STCN"/>
    <s v="946"/>
    <s v="1.61951"/>
    <s v="0.00037"/>
    <x v="910"/>
    <x v="905"/>
    <x v="880"/>
    <x v="840"/>
    <x v="43"/>
    <x v="108"/>
    <x v="17"/>
    <s v="1507352361"/>
  </r>
  <r>
    <x v="946"/>
    <x v="944"/>
    <s v="SIGMA"/>
    <s v="947"/>
    <s v="0.049227"/>
    <s v="0.00001125"/>
    <x v="911"/>
    <x v="905"/>
    <x v="880"/>
    <x v="822"/>
    <x v="434"/>
    <x v="792"/>
    <x v="864"/>
    <s v="1507352362"/>
  </r>
  <r>
    <x v="947"/>
    <x v="945"/>
    <s v="TYC"/>
    <s v="948"/>
    <s v="0.437486"/>
    <s v="0.00009995"/>
    <x v="912"/>
    <x v="905"/>
    <x v="880"/>
    <x v="841"/>
    <x v="18"/>
    <x v="793"/>
    <x v="865"/>
    <s v="1507352357"/>
  </r>
  <r>
    <x v="948"/>
    <x v="946"/>
    <s v="WIC"/>
    <s v="949"/>
    <s v="0.0101483"/>
    <s v="0.00000232"/>
    <x v="913"/>
    <x v="905"/>
    <x v="880"/>
    <x v="7"/>
    <x v="222"/>
    <x v="794"/>
    <x v="866"/>
    <s v="1507352363"/>
  </r>
  <r>
    <x v="949"/>
    <x v="947"/>
    <s v="DAY"/>
    <s v="950"/>
    <s v="9.23006"/>
    <s v="0.00210874"/>
    <x v="914"/>
    <x v="905"/>
    <x v="880"/>
    <x v="842"/>
    <x v="435"/>
    <x v="795"/>
    <x v="486"/>
    <s v="1507352363"/>
  </r>
  <r>
    <x v="950"/>
    <x v="948"/>
    <s v="9COIN"/>
    <s v="951"/>
    <s v="0.0130874"/>
    <s v="0.00000299"/>
    <x v="915"/>
    <x v="905"/>
    <x v="880"/>
    <x v="843"/>
    <x v="436"/>
    <x v="796"/>
    <x v="867"/>
    <s v="1507352357"/>
  </r>
  <r>
    <x v="951"/>
    <x v="949"/>
    <s v="ETT"/>
    <s v="952"/>
    <s v="0.153197"/>
    <s v="0.00003500"/>
    <x v="916"/>
    <x v="905"/>
    <x v="880"/>
    <x v="822"/>
    <x v="18"/>
    <x v="108"/>
    <x v="17"/>
    <s v="1507352363"/>
  </r>
  <r>
    <x v="952"/>
    <x v="950"/>
    <s v="WA"/>
    <s v="953"/>
    <s v="0.0191277"/>
    <s v="0.00000437"/>
    <x v="917"/>
    <x v="905"/>
    <x v="880"/>
    <x v="822"/>
    <x v="18"/>
    <x v="797"/>
    <x v="868"/>
    <s v="1507352353"/>
  </r>
  <r>
    <x v="953"/>
    <x v="951"/>
    <s v="GUC"/>
    <s v="954"/>
    <s v="0.549101"/>
    <s v="0.00012545"/>
    <x v="918"/>
    <x v="905"/>
    <x v="880"/>
    <x v="196"/>
    <x v="369"/>
    <x v="798"/>
    <x v="119"/>
    <s v="1507352357"/>
  </r>
  <r>
    <x v="954"/>
    <x v="952"/>
    <s v="ACC"/>
    <s v="955"/>
    <s v="0.203587"/>
    <s v="0.00004651"/>
    <x v="919"/>
    <x v="905"/>
    <x v="880"/>
    <x v="844"/>
    <x v="437"/>
    <x v="799"/>
    <x v="869"/>
    <s v="1507352362"/>
  </r>
  <r>
    <x v="955"/>
    <x v="953"/>
    <s v="OX"/>
    <s v="956"/>
    <s v="0.0126661"/>
    <s v="0.00000289"/>
    <x v="920"/>
    <x v="905"/>
    <x v="880"/>
    <x v="845"/>
    <x v="438"/>
    <x v="800"/>
    <x v="870"/>
    <s v="1507352362"/>
  </r>
  <r>
    <x v="956"/>
    <x v="954"/>
    <s v="ETX"/>
    <s v="957"/>
    <s v="2.18852"/>
    <s v="0.0005"/>
    <x v="921"/>
    <x v="905"/>
    <x v="880"/>
    <x v="203"/>
    <x v="18"/>
    <x v="575"/>
    <x v="871"/>
    <s v="1507352361"/>
  </r>
  <r>
    <x v="957"/>
    <x v="955"/>
    <s v="MAGN"/>
    <s v="958"/>
    <s v="1.02333"/>
    <s v="0.00023379"/>
    <x v="922"/>
    <x v="905"/>
    <x v="880"/>
    <x v="846"/>
    <x v="18"/>
    <x v="801"/>
    <x v="872"/>
    <s v="1507352363"/>
  </r>
  <r>
    <x v="958"/>
    <x v="956"/>
    <s v="EFYT"/>
    <s v="959"/>
    <s v="7.46681"/>
    <s v="0.0017059"/>
    <x v="923"/>
    <x v="905"/>
    <x v="880"/>
    <x v="45"/>
    <x v="363"/>
    <x v="802"/>
    <x v="873"/>
    <s v="1507352359"/>
  </r>
  <r>
    <x v="959"/>
    <x v="957"/>
    <s v="REGA"/>
    <s v="960"/>
    <s v="0.00547131"/>
    <s v="0.00000125"/>
    <x v="924"/>
    <x v="905"/>
    <x v="880"/>
    <x v="847"/>
    <x v="18"/>
    <x v="803"/>
    <x v="874"/>
    <s v="1507352354"/>
  </r>
  <r>
    <x v="960"/>
    <x v="958"/>
    <s v="ZBC"/>
    <s v="961"/>
    <s v="0.0513678"/>
    <s v="0.00001174"/>
    <x v="925"/>
    <x v="905"/>
    <x v="880"/>
    <x v="848"/>
    <x v="439"/>
    <x v="804"/>
    <x v="875"/>
    <s v="1507352354"/>
  </r>
  <r>
    <x v="961"/>
    <x v="959"/>
    <s v="MG"/>
    <s v="962"/>
    <s v="0.0109426"/>
    <s v="0.00000250"/>
    <x v="926"/>
    <x v="905"/>
    <x v="880"/>
    <x v="822"/>
    <x v="18"/>
    <x v="622"/>
    <x v="876"/>
    <s v="1507352352"/>
  </r>
  <r>
    <x v="962"/>
    <x v="960"/>
    <s v="BTU"/>
    <s v="963"/>
    <s v="402.22"/>
    <s v="0.091893"/>
    <x v="927"/>
    <x v="905"/>
    <x v="880"/>
    <x v="822"/>
    <x v="414"/>
    <x v="805"/>
    <x v="732"/>
    <s v="1507352355"/>
  </r>
  <r>
    <x v="963"/>
    <x v="961"/>
    <s v="HDLB"/>
    <s v="964"/>
    <s v="0.204146"/>
    <s v="0.00004664"/>
    <x v="928"/>
    <x v="905"/>
    <x v="880"/>
    <x v="822"/>
    <x v="440"/>
    <x v="806"/>
    <x v="877"/>
    <s v="1507352363"/>
  </r>
  <r>
    <x v="964"/>
    <x v="962"/>
    <s v="MEN"/>
    <s v="965"/>
    <s v="0.000831639"/>
    <s v="0.00000019"/>
    <x v="929"/>
    <x v="905"/>
    <x v="880"/>
    <x v="849"/>
    <x v="18"/>
    <x v="807"/>
    <x v="878"/>
    <s v="1507352361"/>
  </r>
  <r>
    <x v="965"/>
    <x v="963"/>
    <s v="SIFT"/>
    <s v="966"/>
    <s v="3.07705"/>
    <s v="0.000703"/>
    <x v="930"/>
    <x v="905"/>
    <x v="880"/>
    <x v="822"/>
    <x v="163"/>
    <x v="808"/>
    <x v="879"/>
    <s v="1507352363"/>
  </r>
  <r>
    <x v="966"/>
    <x v="964"/>
    <s v="PAYP"/>
    <s v="967"/>
    <s v="0.0000437705"/>
    <s v="0.00000001"/>
    <x v="931"/>
    <x v="905"/>
    <x v="880"/>
    <x v="822"/>
    <x v="18"/>
    <x v="809"/>
    <x v="880"/>
    <s v="1507352354"/>
  </r>
  <r>
    <x v="967"/>
    <x v="965"/>
    <s v="MRJA"/>
    <s v="968"/>
    <s v="0.0414069"/>
    <s v="0.00000946"/>
    <x v="932"/>
    <x v="905"/>
    <x v="880"/>
    <x v="850"/>
    <x v="43"/>
    <x v="810"/>
    <x v="881"/>
    <s v="1507352345"/>
  </r>
  <r>
    <x v="968"/>
    <x v="966"/>
    <s v="BET"/>
    <s v="969"/>
    <s v="0.00735474"/>
    <s v="0.00000168"/>
    <x v="933"/>
    <x v="905"/>
    <x v="880"/>
    <x v="822"/>
    <x v="33"/>
    <x v="811"/>
    <x v="882"/>
    <s v="1507352342"/>
  </r>
  <r>
    <x v="969"/>
    <x v="967"/>
    <s v="WEC"/>
    <s v="970"/>
    <s v="0.148"/>
    <s v="0.00003381"/>
    <x v="934"/>
    <x v="905"/>
    <x v="880"/>
    <x v="851"/>
    <x v="355"/>
    <x v="812"/>
    <x v="883"/>
    <s v="1507352352"/>
  </r>
  <r>
    <x v="970"/>
    <x v="968"/>
    <s v="MRNG"/>
    <s v="971"/>
    <s v="0.00218852"/>
    <s v="0.00000050"/>
    <x v="935"/>
    <x v="905"/>
    <x v="880"/>
    <x v="852"/>
    <x v="18"/>
    <x v="813"/>
    <x v="884"/>
    <s v="1507352363"/>
  </r>
  <r>
    <x v="971"/>
    <x v="969"/>
    <s v="STEX"/>
    <s v="972"/>
    <s v="0.132328"/>
    <s v="0.00003023"/>
    <x v="936"/>
    <x v="905"/>
    <x v="880"/>
    <x v="7"/>
    <x v="441"/>
    <x v="594"/>
    <x v="885"/>
    <s v="1507352358"/>
  </r>
  <r>
    <x v="972"/>
    <x v="970"/>
    <s v="TERA"/>
    <s v="973"/>
    <s v="0.0000437705"/>
    <s v="0.00000001"/>
    <x v="937"/>
    <x v="905"/>
    <x v="880"/>
    <x v="853"/>
    <x v="18"/>
    <x v="194"/>
    <x v="886"/>
    <s v="1507352355"/>
  </r>
  <r>
    <x v="973"/>
    <x v="971"/>
    <s v="CYDER"/>
    <s v="974"/>
    <s v="0.000962951"/>
    <s v="0.00000022"/>
    <x v="938"/>
    <x v="905"/>
    <x v="880"/>
    <x v="822"/>
    <x v="442"/>
    <x v="814"/>
    <x v="887"/>
    <s v="1507352362"/>
  </r>
  <r>
    <x v="974"/>
    <x v="972"/>
    <s v="HALLO"/>
    <s v="975"/>
    <s v="0.000258972"/>
    <s v="0.00000006"/>
    <x v="939"/>
    <x v="905"/>
    <x v="880"/>
    <x v="854"/>
    <x v="157"/>
    <x v="815"/>
    <x v="888"/>
    <s v="1507352357"/>
  </r>
  <r>
    <x v="975"/>
    <x v="973"/>
    <s v="ACN"/>
    <s v="976"/>
    <s v="0.000350164"/>
    <s v="0.00000008"/>
    <x v="940"/>
    <x v="905"/>
    <x v="880"/>
    <x v="822"/>
    <x v="43"/>
    <x v="816"/>
    <x v="652"/>
    <s v="1507352354"/>
  </r>
  <r>
    <x v="976"/>
    <x v="974"/>
    <s v="GSR"/>
    <s v="977"/>
    <s v="0.0203275"/>
    <s v="0.00000464"/>
    <x v="941"/>
    <x v="905"/>
    <x v="880"/>
    <x v="855"/>
    <x v="203"/>
    <x v="817"/>
    <x v="889"/>
    <s v="1507352360"/>
  </r>
  <r>
    <x v="977"/>
    <x v="975"/>
    <s v="PAC"/>
    <s v="978"/>
    <s v="0.0000001611"/>
    <s v="0.00000000004"/>
    <x v="942"/>
    <x v="905"/>
    <x v="880"/>
    <x v="822"/>
    <x v="220"/>
    <x v="818"/>
    <x v="890"/>
    <s v="1507352348"/>
  </r>
  <r>
    <x v="978"/>
    <x v="976"/>
    <s v="TURBO"/>
    <s v="979"/>
    <s v="0.0000437705"/>
    <s v="0.00000001"/>
    <x v="943"/>
    <x v="905"/>
    <x v="880"/>
    <x v="822"/>
    <x v="18"/>
    <x v="350"/>
    <x v="670"/>
    <s v="1507352359"/>
  </r>
  <r>
    <x v="979"/>
    <x v="977"/>
    <s v="IQT"/>
    <s v="980"/>
    <s v="0.50086"/>
    <s v="0.00011443"/>
    <x v="944"/>
    <x v="905"/>
    <x v="880"/>
    <x v="7"/>
    <x v="443"/>
    <x v="819"/>
    <x v="891"/>
    <s v="1507352363"/>
  </r>
  <r>
    <x v="980"/>
    <x v="978"/>
    <s v="FC"/>
    <s v="981"/>
    <s v="0.0185832"/>
    <s v="0.00000425"/>
    <x v="945"/>
    <x v="905"/>
    <x v="880"/>
    <x v="191"/>
    <x v="163"/>
    <x v="820"/>
    <x v="892"/>
    <s v="1507352362"/>
  </r>
  <r>
    <x v="981"/>
    <x v="979"/>
    <s v="TCOIN"/>
    <s v="982"/>
    <s v="0.0000875470"/>
    <s v="0.00000002"/>
    <x v="946"/>
    <x v="905"/>
    <x v="880"/>
    <x v="822"/>
    <x v="18"/>
    <x v="687"/>
    <x v="893"/>
    <s v="1507352354"/>
  </r>
  <r>
    <x v="982"/>
    <x v="980"/>
    <s v="AMS"/>
    <s v="983"/>
    <s v="0.0036732"/>
    <s v="0.00000084"/>
    <x v="947"/>
    <x v="905"/>
    <x v="880"/>
    <x v="856"/>
    <x v="43"/>
    <x v="821"/>
    <x v="894"/>
    <s v="1507352347"/>
  </r>
  <r>
    <x v="983"/>
    <x v="981"/>
    <s v="XLC"/>
    <s v="984"/>
    <s v="0.0271263"/>
    <s v="0.00000620"/>
    <x v="948"/>
    <x v="905"/>
    <x v="880"/>
    <x v="822"/>
    <x v="18"/>
    <x v="822"/>
    <x v="895"/>
    <s v="1507352358"/>
  </r>
  <r>
    <x v="984"/>
    <x v="982"/>
    <s v="KAYI"/>
    <s v="985"/>
    <s v="0.000901115"/>
    <s v="0.00000021"/>
    <x v="949"/>
    <x v="905"/>
    <x v="880"/>
    <x v="857"/>
    <x v="444"/>
    <x v="823"/>
    <x v="896"/>
    <s v="1507352359"/>
  </r>
  <r>
    <x v="985"/>
    <x v="983"/>
    <s v="MONEY"/>
    <s v="986"/>
    <s v="0.0000437705"/>
    <s v="0.00000001"/>
    <x v="950"/>
    <x v="905"/>
    <x v="880"/>
    <x v="822"/>
    <x v="18"/>
    <x v="824"/>
    <x v="886"/>
    <s v="1507352353"/>
  </r>
  <r>
    <x v="986"/>
    <x v="984"/>
    <s v="AV"/>
    <s v="987"/>
    <s v="0.0245115"/>
    <s v="0.00000560"/>
    <x v="951"/>
    <x v="905"/>
    <x v="880"/>
    <x v="822"/>
    <x v="18"/>
    <x v="280"/>
    <x v="897"/>
    <s v="1507352349"/>
  </r>
  <r>
    <x v="987"/>
    <x v="985"/>
    <s v="FUTC"/>
    <s v="988"/>
    <s v="0.00135688"/>
    <s v="0.00000031"/>
    <x v="952"/>
    <x v="905"/>
    <x v="880"/>
    <x v="822"/>
    <x v="18"/>
    <x v="825"/>
    <x v="898"/>
    <s v="1507352347"/>
  </r>
  <r>
    <x v="988"/>
    <x v="986"/>
    <s v="BRAT"/>
    <s v="989"/>
    <s v="0.000143327"/>
    <s v="0.00000003"/>
    <x v="953"/>
    <x v="905"/>
    <x v="880"/>
    <x v="25"/>
    <x v="445"/>
    <x v="826"/>
    <x v="59"/>
    <s v="1507352362"/>
  </r>
  <r>
    <x v="989"/>
    <x v="987"/>
    <s v="TCR"/>
    <s v="990"/>
    <s v="0.000262623"/>
    <s v="0.00000006"/>
    <x v="954"/>
    <x v="905"/>
    <x v="880"/>
    <x v="822"/>
    <x v="43"/>
    <x v="543"/>
    <x v="17"/>
    <s v="1507352350"/>
  </r>
  <r>
    <x v="990"/>
    <x v="988"/>
    <s v="COUPE"/>
    <s v="991"/>
    <s v="0.0000190242"/>
    <s v="0.000000004"/>
    <x v="955"/>
    <x v="905"/>
    <x v="880"/>
    <x v="858"/>
    <x v="323"/>
    <x v="827"/>
    <x v="899"/>
    <s v="1507352358"/>
  </r>
  <r>
    <x v="991"/>
    <x v="989"/>
    <s v="SNAKE"/>
    <s v="992"/>
    <s v="0.0467894"/>
    <s v="0.00001069"/>
    <x v="956"/>
    <x v="905"/>
    <x v="880"/>
    <x v="45"/>
    <x v="290"/>
    <x v="828"/>
    <x v="620"/>
    <s v="1507352357"/>
  </r>
  <r>
    <x v="992"/>
    <x v="990"/>
    <s v="ATMC"/>
    <s v="993"/>
    <s v="0.87541"/>
    <s v="0.0002"/>
    <x v="957"/>
    <x v="905"/>
    <x v="880"/>
    <x v="144"/>
    <x v="18"/>
    <x v="194"/>
    <x v="670"/>
    <s v="1507352362"/>
  </r>
  <r>
    <x v="993"/>
    <x v="991"/>
    <s v="APC"/>
    <s v="994"/>
    <s v="0.233297"/>
    <s v="0.00005330"/>
    <x v="958"/>
    <x v="905"/>
    <x v="880"/>
    <x v="822"/>
    <x v="43"/>
    <x v="829"/>
    <x v="31"/>
    <s v="1507352348"/>
  </r>
  <r>
    <x v="994"/>
    <x v="992"/>
    <s v="SHND"/>
    <s v="995"/>
    <s v="0.0000000399"/>
    <s v="0.000000000009"/>
    <x v="959"/>
    <x v="905"/>
    <x v="880"/>
    <x v="859"/>
    <x v="446"/>
    <x v="830"/>
    <x v="900"/>
    <s v="1507352347"/>
  </r>
  <r>
    <x v="995"/>
    <x v="993"/>
    <s v="SUR"/>
    <s v="996"/>
    <s v="4.54058"/>
    <s v="0.00103736"/>
    <x v="960"/>
    <x v="905"/>
    <x v="880"/>
    <x v="860"/>
    <x v="163"/>
    <x v="831"/>
    <x v="901"/>
    <s v="1507352362"/>
  </r>
  <r>
    <x v="996"/>
    <x v="994"/>
    <s v="TER"/>
    <s v="997"/>
    <s v="14.382"/>
    <s v="0.00328578"/>
    <x v="961"/>
    <x v="905"/>
    <x v="880"/>
    <x v="861"/>
    <x v="18"/>
    <x v="832"/>
    <x v="902"/>
    <s v="1507352360"/>
  </r>
  <r>
    <x v="997"/>
    <x v="995"/>
    <s v="TODAY"/>
    <s v="998"/>
    <s v="0.00105049"/>
    <s v="0.00000024"/>
    <x v="962"/>
    <x v="905"/>
    <x v="880"/>
    <x v="822"/>
    <x v="18"/>
    <x v="194"/>
    <x v="903"/>
    <s v="1507352351"/>
  </r>
  <r>
    <x v="998"/>
    <x v="996"/>
    <s v="ASC"/>
    <s v="999"/>
    <s v="0.000961326"/>
    <s v="0.00000022"/>
    <x v="963"/>
    <x v="905"/>
    <x v="880"/>
    <x v="822"/>
    <x v="377"/>
    <x v="508"/>
    <x v="904"/>
    <s v="1507352341"/>
  </r>
  <r>
    <x v="999"/>
    <x v="997"/>
    <s v="FFC"/>
    <s v="1000"/>
    <s v="0.0000875410"/>
    <s v="0.00000002"/>
    <x v="964"/>
    <x v="905"/>
    <x v="880"/>
    <x v="822"/>
    <x v="18"/>
    <x v="543"/>
    <x v="891"/>
    <s v="1507352347"/>
  </r>
  <r>
    <x v="1000"/>
    <x v="998"/>
    <s v="MARX"/>
    <s v="1001"/>
    <s v="0.00141825"/>
    <s v="0.00000032"/>
    <x v="965"/>
    <x v="905"/>
    <x v="880"/>
    <x v="862"/>
    <x v="152"/>
    <x v="833"/>
    <x v="905"/>
    <s v="1507352355"/>
  </r>
  <r>
    <x v="1001"/>
    <x v="999"/>
    <s v="PRES"/>
    <s v="1002"/>
    <s v="0.00449984"/>
    <s v="0.00000103"/>
    <x v="966"/>
    <x v="905"/>
    <x v="880"/>
    <x v="863"/>
    <x v="102"/>
    <x v="834"/>
    <x v="906"/>
    <s v="1507352351"/>
  </r>
  <r>
    <x v="1002"/>
    <x v="1000"/>
    <s v="GBRC"/>
    <s v="1003"/>
    <s v="0.000131311"/>
    <s v="0.00000003"/>
    <x v="967"/>
    <x v="905"/>
    <x v="880"/>
    <x v="864"/>
    <x v="18"/>
    <x v="835"/>
    <x v="132"/>
    <s v="1507352355"/>
  </r>
  <r>
    <x v="1003"/>
    <x v="1001"/>
    <s v="TLE"/>
    <s v="1004"/>
    <s v="0.125709"/>
    <s v="0.00002872"/>
    <x v="968"/>
    <x v="905"/>
    <x v="880"/>
    <x v="865"/>
    <x v="447"/>
    <x v="836"/>
    <x v="17"/>
    <s v="1507352357"/>
  </r>
  <r>
    <x v="1004"/>
    <x v="1002"/>
    <s v="KEXCOIN"/>
    <s v="1005"/>
    <s v="10.9429"/>
    <s v="0.00250007"/>
    <x v="969"/>
    <x v="905"/>
    <x v="880"/>
    <x v="45"/>
    <x v="18"/>
    <x v="194"/>
    <x v="907"/>
    <s v="1507352364"/>
  </r>
  <r>
    <x v="1005"/>
    <x v="1003"/>
    <s v="BAT"/>
    <s v="1006"/>
    <s v="0.0000021073"/>
    <s v="0.0000000005"/>
    <x v="970"/>
    <x v="905"/>
    <x v="880"/>
    <x v="822"/>
    <x v="40"/>
    <x v="837"/>
    <x v="908"/>
    <s v="1507352342"/>
  </r>
  <r>
    <x v="1006"/>
    <x v="1004"/>
    <s v="BUB"/>
    <s v="1007"/>
    <s v="0.0625918"/>
    <s v="0.00001430"/>
    <x v="971"/>
    <x v="905"/>
    <x v="880"/>
    <x v="866"/>
    <x v="18"/>
    <x v="838"/>
    <x v="909"/>
    <s v="1507352348"/>
  </r>
  <r>
    <x v="1007"/>
    <x v="1005"/>
    <s v="SKR"/>
    <s v="1008"/>
    <s v="0.00122555"/>
    <s v="0.00000028"/>
    <x v="972"/>
    <x v="905"/>
    <x v="880"/>
    <x v="822"/>
    <x v="448"/>
    <x v="839"/>
    <x v="910"/>
    <s v="1507352362"/>
  </r>
  <r>
    <x v="1008"/>
    <x v="1006"/>
    <s v="VOYA"/>
    <s v="1009"/>
    <s v="2.02705"/>
    <s v="0.00046311"/>
    <x v="973"/>
    <x v="905"/>
    <x v="880"/>
    <x v="822"/>
    <x v="203"/>
    <x v="840"/>
    <x v="911"/>
    <s v="1507352346"/>
  </r>
  <r>
    <x v="1009"/>
    <x v="1007"/>
    <s v="YES"/>
    <s v="1010"/>
    <s v="0.0000028882"/>
    <s v="0.0000000007"/>
    <x v="974"/>
    <x v="905"/>
    <x v="880"/>
    <x v="822"/>
    <x v="132"/>
    <x v="841"/>
    <x v="912"/>
    <s v="1507352354"/>
  </r>
  <r>
    <x v="1010"/>
    <x v="1008"/>
    <s v="AIB"/>
    <s v="1011"/>
    <s v="0.00532504"/>
    <s v="0.00000122"/>
    <x v="975"/>
    <x v="905"/>
    <x v="880"/>
    <x v="867"/>
    <x v="18"/>
    <x v="842"/>
    <x v="801"/>
    <s v="1507352346"/>
  </r>
  <r>
    <x v="1011"/>
    <x v="1009"/>
    <s v="RUBIT"/>
    <s v="1012"/>
    <s v="0.0027575"/>
    <s v="0.00000063"/>
    <x v="976"/>
    <x v="905"/>
    <x v="880"/>
    <x v="822"/>
    <x v="43"/>
    <x v="843"/>
    <x v="63"/>
    <s v="1507352348"/>
  </r>
  <r>
    <x v="1012"/>
    <x v="1010"/>
    <s v="PCS"/>
    <s v="1013"/>
    <s v="0.0788744"/>
    <s v="0.00001802"/>
    <x v="977"/>
    <x v="905"/>
    <x v="880"/>
    <x v="868"/>
    <x v="43"/>
    <x v="0"/>
    <x v="262"/>
    <s v="1507352353"/>
  </r>
  <r>
    <x v="1013"/>
    <x v="1011"/>
    <s v="ROYAL"/>
    <s v="1014"/>
    <s v="0.00393934"/>
    <s v="0.00000090"/>
    <x v="978"/>
    <x v="905"/>
    <x v="880"/>
    <x v="869"/>
    <x v="18"/>
    <x v="844"/>
    <x v="913"/>
    <s v="1507352352"/>
  </r>
  <r>
    <x v="1014"/>
    <x v="1012"/>
    <s v="RHFC"/>
    <s v="1015"/>
    <s v="0.00105049"/>
    <s v="0.00000024"/>
    <x v="979"/>
    <x v="905"/>
    <x v="880"/>
    <x v="870"/>
    <x v="18"/>
    <x v="845"/>
    <x v="17"/>
    <s v="1507352356"/>
  </r>
  <r>
    <x v="1015"/>
    <x v="1013"/>
    <s v="BTDX"/>
    <s v="1016"/>
    <s v="0.286259"/>
    <s v="0.00006540"/>
    <x v="980"/>
    <x v="905"/>
    <x v="880"/>
    <x v="871"/>
    <x v="18"/>
    <x v="846"/>
    <x v="914"/>
    <s v="1507352351"/>
  </r>
  <r>
    <x v="1016"/>
    <x v="1014"/>
    <s v="FLASH"/>
    <s v="1017"/>
    <s v="0.00421916"/>
    <s v="0.00000096"/>
    <x v="981"/>
    <x v="905"/>
    <x v="880"/>
    <x v="822"/>
    <x v="449"/>
    <x v="847"/>
    <x v="915"/>
    <s v="1507352358"/>
  </r>
  <r>
    <x v="1017"/>
    <x v="1015"/>
    <s v="BIRDS"/>
    <s v="1018"/>
    <s v="0.000121756"/>
    <s v="0.00000003"/>
    <x v="982"/>
    <x v="905"/>
    <x v="880"/>
    <x v="822"/>
    <x v="450"/>
    <x v="848"/>
    <x v="916"/>
    <s v="1507352360"/>
  </r>
  <r>
    <x v="1018"/>
    <x v="1016"/>
    <s v="PI"/>
    <s v="1019"/>
    <s v="0.00748475"/>
    <s v="0.00000171"/>
    <x v="983"/>
    <x v="905"/>
    <x v="880"/>
    <x v="872"/>
    <x v="18"/>
    <x v="849"/>
    <x v="917"/>
    <s v="1507352357"/>
  </r>
  <r>
    <x v="1019"/>
    <x v="1017"/>
    <s v="FID"/>
    <s v="1020"/>
    <s v="0.131311"/>
    <s v="0.00003000"/>
    <x v="984"/>
    <x v="905"/>
    <x v="880"/>
    <x v="822"/>
    <x v="18"/>
    <x v="850"/>
    <x v="918"/>
    <s v="1507352363"/>
  </r>
  <r>
    <x v="1020"/>
    <x v="1018"/>
    <s v="XID"/>
    <s v="1021"/>
    <s v="0.00569016"/>
    <s v="0.00000130"/>
    <x v="985"/>
    <x v="905"/>
    <x v="880"/>
    <x v="822"/>
    <x v="18"/>
    <x v="851"/>
    <x v="919"/>
    <s v="1507352351"/>
  </r>
  <r>
    <x v="1021"/>
    <x v="1019"/>
    <s v="SAK"/>
    <s v="1022"/>
    <s v="0.00249975"/>
    <s v="0.00000057"/>
    <x v="986"/>
    <x v="905"/>
    <x v="880"/>
    <x v="822"/>
    <x v="89"/>
    <x v="852"/>
    <x v="226"/>
    <s v="1507352346"/>
  </r>
  <r>
    <x v="1022"/>
    <x v="1020"/>
    <s v="XQN"/>
    <s v="1023"/>
    <s v="0.00866655"/>
    <s v="0.00000198"/>
    <x v="987"/>
    <x v="905"/>
    <x v="880"/>
    <x v="822"/>
    <x v="18"/>
    <x v="853"/>
    <x v="285"/>
    <s v="1507352345"/>
  </r>
  <r>
    <x v="1023"/>
    <x v="1021"/>
    <s v="MBL"/>
    <s v="1024"/>
    <s v="0.000700328"/>
    <s v="0.00000016"/>
    <x v="988"/>
    <x v="905"/>
    <x v="880"/>
    <x v="873"/>
    <x v="18"/>
    <x v="854"/>
    <x v="920"/>
    <s v="1507352352"/>
  </r>
  <r>
    <x v="1024"/>
    <x v="1022"/>
    <s v="B@"/>
    <s v="1025"/>
    <s v="0.58743"/>
    <s v="0.00013421"/>
    <x v="989"/>
    <x v="905"/>
    <x v="880"/>
    <x v="67"/>
    <x v="267"/>
    <x v="855"/>
    <x v="921"/>
    <s v="1507352356"/>
  </r>
  <r>
    <x v="1025"/>
    <x v="1023"/>
    <s v="BITCF"/>
    <s v="1026"/>
    <s v="0.262929"/>
    <s v="0.00006007"/>
    <x v="990"/>
    <x v="905"/>
    <x v="880"/>
    <x v="874"/>
    <x v="18"/>
    <x v="856"/>
    <x v="922"/>
    <s v="1507352361"/>
  </r>
  <r>
    <x v="1026"/>
    <x v="1024"/>
    <s v="BITOK"/>
    <s v="1027"/>
    <s v="0.0000428538"/>
    <s v="0.000000010"/>
    <x v="991"/>
    <x v="905"/>
    <x v="880"/>
    <x v="811"/>
    <x v="24"/>
    <x v="136"/>
    <x v="923"/>
    <s v="1507352358"/>
  </r>
  <r>
    <x v="1027"/>
    <x v="1025"/>
    <s v="MTNC"/>
    <s v="1028"/>
    <s v="0.101241"/>
    <s v="0.00002313"/>
    <x v="992"/>
    <x v="905"/>
    <x v="880"/>
    <x v="875"/>
    <x v="18"/>
    <x v="857"/>
    <x v="924"/>
    <s v="1507352363"/>
  </r>
  <r>
    <x v="1028"/>
    <x v="1026"/>
    <s v="ASN"/>
    <s v="1029"/>
    <s v="0.00485852"/>
    <s v="0.00000111"/>
    <x v="993"/>
    <x v="905"/>
    <x v="880"/>
    <x v="822"/>
    <x v="18"/>
    <x v="858"/>
    <x v="925"/>
    <s v="1507352360"/>
  </r>
  <r>
    <x v="1029"/>
    <x v="1027"/>
    <s v="GMX"/>
    <s v="1030"/>
    <s v="0.00140066"/>
    <s v="0.00000032"/>
    <x v="994"/>
    <x v="905"/>
    <x v="880"/>
    <x v="876"/>
    <x v="420"/>
    <x v="859"/>
    <x v="926"/>
    <s v="1507352349"/>
  </r>
  <r>
    <x v="1030"/>
    <x v="1028"/>
    <s v="TELL"/>
    <s v="1031"/>
    <s v="0.0000871124"/>
    <s v="0.00000002"/>
    <x v="995"/>
    <x v="905"/>
    <x v="880"/>
    <x v="822"/>
    <x v="58"/>
    <x v="860"/>
    <x v="927"/>
    <s v="1507352355"/>
  </r>
  <r>
    <x v="1031"/>
    <x v="1029"/>
    <s v="PEC"/>
    <s v="1032"/>
    <s v="0.0121244"/>
    <s v="0.00000277"/>
    <x v="996"/>
    <x v="905"/>
    <x v="880"/>
    <x v="822"/>
    <x v="18"/>
    <x v="861"/>
    <x v="928"/>
    <s v="1507352351"/>
  </r>
  <r>
    <x v="1032"/>
    <x v="1030"/>
    <s v="GARY"/>
    <s v="1033"/>
    <s v="0.0656995"/>
    <s v="0.00001501"/>
    <x v="997"/>
    <x v="905"/>
    <x v="880"/>
    <x v="863"/>
    <x v="43"/>
    <x v="862"/>
    <x v="929"/>
    <s v="1507352351"/>
  </r>
  <r>
    <x v="1033"/>
    <x v="1031"/>
    <s v="WINK"/>
    <s v="1034"/>
    <s v="0.000137181"/>
    <s v="0.00000003"/>
    <x v="998"/>
    <x v="905"/>
    <x v="880"/>
    <x v="822"/>
    <x v="451"/>
    <x v="108"/>
    <x v="930"/>
    <s v="1507352361"/>
  </r>
  <r>
    <x v="1034"/>
    <x v="1032"/>
    <s v="RBBT"/>
    <s v="1035"/>
    <s v="0.0000011619"/>
    <s v="0.0000000003"/>
    <x v="999"/>
    <x v="905"/>
    <x v="880"/>
    <x v="822"/>
    <x v="131"/>
    <x v="863"/>
    <x v="931"/>
    <s v="1507352346"/>
  </r>
  <r>
    <x v="1035"/>
    <x v="1033"/>
    <s v="PCN"/>
    <s v="1036"/>
    <s v="0.0000006802"/>
    <s v="0.0000000002"/>
    <x v="1000"/>
    <x v="905"/>
    <x v="880"/>
    <x v="822"/>
    <x v="452"/>
    <x v="864"/>
    <x v="932"/>
    <s v="1507352360"/>
  </r>
  <r>
    <x v="1036"/>
    <x v="1034"/>
    <s v="UNC"/>
    <s v="1037"/>
    <s v="0.0000437705"/>
    <s v="0.00000001"/>
    <x v="1001"/>
    <x v="905"/>
    <x v="880"/>
    <x v="822"/>
    <x v="18"/>
    <x v="194"/>
    <x v="574"/>
    <s v="1507352348"/>
  </r>
  <r>
    <x v="1037"/>
    <x v="1035"/>
    <s v="NBE"/>
    <s v="1038"/>
    <s v="0.0000062356"/>
    <s v="0.000000001"/>
    <x v="1002"/>
    <x v="905"/>
    <x v="880"/>
    <x v="822"/>
    <x v="377"/>
    <x v="108"/>
    <x v="883"/>
    <s v="1507352345"/>
  </r>
  <r>
    <x v="1038"/>
    <x v="1036"/>
    <s v="IRL"/>
    <s v="1039"/>
    <s v="0.00113803"/>
    <s v="0.00000026"/>
    <x v="1003"/>
    <x v="905"/>
    <x v="880"/>
    <x v="877"/>
    <x v="18"/>
    <x v="865"/>
    <x v="933"/>
    <s v="1507352360"/>
  </r>
  <r>
    <x v="1039"/>
    <x v="1037"/>
    <s v="LEPEN"/>
    <s v="1040"/>
    <s v="0.0000437639"/>
    <s v="0.000000010"/>
    <x v="1004"/>
    <x v="905"/>
    <x v="880"/>
    <x v="822"/>
    <x v="4"/>
    <x v="866"/>
    <x v="934"/>
    <s v="1507352354"/>
  </r>
  <r>
    <x v="1040"/>
    <x v="1038"/>
    <s v="TESLA"/>
    <s v="1041"/>
    <s v="0.814875"/>
    <s v="0.00018617"/>
    <x v="1005"/>
    <x v="905"/>
    <x v="880"/>
    <x v="7"/>
    <x v="18"/>
    <x v="687"/>
    <x v="907"/>
    <s v="1507352361"/>
  </r>
  <r>
    <x v="1041"/>
    <x v="1039"/>
    <s v="BEST"/>
    <s v="1042"/>
    <s v="0.000961242"/>
    <s v="0.00000022"/>
    <x v="1006"/>
    <x v="905"/>
    <x v="880"/>
    <x v="878"/>
    <x v="43"/>
    <x v="867"/>
    <x v="935"/>
    <s v="1507352356"/>
  </r>
  <r>
    <x v="1042"/>
    <x v="1040"/>
    <s v="UNRC"/>
    <s v="1043"/>
    <s v="0.000752795"/>
    <s v="0.00000017"/>
    <x v="1007"/>
    <x v="905"/>
    <x v="880"/>
    <x v="822"/>
    <x v="19"/>
    <x v="868"/>
    <x v="936"/>
    <s v="1507352359"/>
  </r>
  <r>
    <x v="1043"/>
    <x v="1041"/>
    <s v="NXX"/>
    <s v="1044"/>
    <s v="0.00855319"/>
    <s v="0.00000195"/>
    <x v="1008"/>
    <x v="905"/>
    <x v="880"/>
    <x v="822"/>
    <x v="163"/>
    <x v="311"/>
    <x v="937"/>
    <s v="1507352361"/>
  </r>
  <r>
    <x v="1044"/>
    <x v="1042"/>
    <s v="ANI"/>
    <s v="1045"/>
    <s v="0.000175082"/>
    <s v="0.00000004"/>
    <x v="1009"/>
    <x v="905"/>
    <x v="880"/>
    <x v="822"/>
    <x v="453"/>
    <x v="869"/>
    <x v="938"/>
    <s v="1507352342"/>
  </r>
  <r>
    <x v="1045"/>
    <x v="1043"/>
    <s v="FAZZ"/>
    <s v="1046"/>
    <s v="0.00191773"/>
    <s v="0.00000044"/>
    <x v="1010"/>
    <x v="905"/>
    <x v="880"/>
    <x v="879"/>
    <x v="283"/>
    <x v="870"/>
    <x v="939"/>
    <s v="1507352356"/>
  </r>
  <r>
    <x v="1046"/>
    <x v="1044"/>
    <s v="XSTC"/>
    <s v="1047"/>
    <s v="0.0000437705"/>
    <s v="0.00000001"/>
    <x v="1011"/>
    <x v="905"/>
    <x v="880"/>
    <x v="880"/>
    <x v="43"/>
    <x v="824"/>
    <x v="940"/>
    <s v="1507352354"/>
  </r>
  <r>
    <x v="1047"/>
    <x v="1045"/>
    <s v="CYC"/>
    <s v="1048"/>
    <s v="0.0019259"/>
    <s v="0.00000044"/>
    <x v="1012"/>
    <x v="905"/>
    <x v="880"/>
    <x v="822"/>
    <x v="43"/>
    <x v="543"/>
    <x v="941"/>
    <s v="1507352347"/>
  </r>
  <r>
    <x v="1048"/>
    <x v="1046"/>
    <s v="UR"/>
    <s v="1049"/>
    <s v="0.000614765"/>
    <s v="0.00000014"/>
    <x v="1013"/>
    <x v="905"/>
    <x v="880"/>
    <x v="822"/>
    <x v="454"/>
    <x v="871"/>
    <x v="310"/>
    <s v="1507352355"/>
  </r>
  <r>
    <x v="1049"/>
    <x v="1047"/>
    <s v="PRIMU"/>
    <s v="1050"/>
    <s v="0.000131311"/>
    <s v="0.00000003"/>
    <x v="1014"/>
    <x v="905"/>
    <x v="880"/>
    <x v="822"/>
    <x v="43"/>
    <x v="194"/>
    <x v="942"/>
    <s v="1507352360"/>
  </r>
  <r>
    <x v="1050"/>
    <x v="1048"/>
    <s v="EMV"/>
    <s v="1051"/>
    <s v="0.307669"/>
    <s v="0.00007029"/>
    <x v="1015"/>
    <x v="905"/>
    <x v="880"/>
    <x v="881"/>
    <x v="163"/>
    <x v="872"/>
    <x v="943"/>
    <s v="1507352356"/>
  </r>
  <r>
    <x v="1051"/>
    <x v="1049"/>
    <s v="MOTO"/>
    <s v="1052"/>
    <s v="0.00179459"/>
    <s v="0.00000041"/>
    <x v="1016"/>
    <x v="905"/>
    <x v="880"/>
    <x v="882"/>
    <x v="18"/>
    <x v="873"/>
    <x v="944"/>
    <s v="1507352360"/>
  </r>
  <r>
    <x v="1052"/>
    <x v="1050"/>
    <s v="FRWC"/>
    <s v="1053"/>
    <s v="0.00271377"/>
    <s v="0.00000062"/>
    <x v="1017"/>
    <x v="905"/>
    <x v="880"/>
    <x v="822"/>
    <x v="201"/>
    <x v="874"/>
    <x v="354"/>
    <s v="1507352351"/>
  </r>
  <r>
    <x v="1053"/>
    <x v="1051"/>
    <s v="SKULL"/>
    <s v="1054"/>
    <s v="0.00498983"/>
    <s v="0.00000114"/>
    <x v="1018"/>
    <x v="905"/>
    <x v="880"/>
    <x v="822"/>
    <x v="43"/>
    <x v="875"/>
    <x v="945"/>
    <s v="1507352358"/>
  </r>
  <r>
    <x v="1054"/>
    <x v="1052"/>
    <s v="BLAZR"/>
    <s v="1055"/>
    <s v="0.000853425"/>
    <s v="0.00000019"/>
    <x v="1019"/>
    <x v="905"/>
    <x v="880"/>
    <x v="822"/>
    <x v="455"/>
    <x v="876"/>
    <x v="946"/>
    <s v="1507352356"/>
  </r>
  <r>
    <x v="1055"/>
    <x v="1053"/>
    <s v="RICHX"/>
    <s v="1056"/>
    <s v="0.00477098"/>
    <s v="0.00000109"/>
    <x v="1020"/>
    <x v="905"/>
    <x v="880"/>
    <x v="883"/>
    <x v="18"/>
    <x v="194"/>
    <x v="17"/>
    <s v="1507352350"/>
  </r>
  <r>
    <x v="1056"/>
    <x v="1054"/>
    <s v="XVE"/>
    <s v="1057"/>
    <s v="0.000268411"/>
    <s v="0.00000006"/>
    <x v="1021"/>
    <x v="905"/>
    <x v="880"/>
    <x v="822"/>
    <x v="18"/>
    <x v="877"/>
    <x v="360"/>
    <s v="1507352356"/>
  </r>
  <r>
    <x v="1057"/>
    <x v="1055"/>
    <s v="SPORT"/>
    <s v="1058"/>
    <s v="0.000787869"/>
    <s v="0.00000018"/>
    <x v="1022"/>
    <x v="905"/>
    <x v="880"/>
    <x v="884"/>
    <x v="18"/>
    <x v="878"/>
    <x v="824"/>
    <s v="1507352352"/>
  </r>
  <r>
    <x v="1058"/>
    <x v="1056"/>
    <s v="EXL"/>
    <s v="1059"/>
    <s v="0.000131311"/>
    <s v="0.00000003"/>
    <x v="1023"/>
    <x v="905"/>
    <x v="880"/>
    <x v="885"/>
    <x v="43"/>
    <x v="879"/>
    <x v="947"/>
    <s v="1507352362"/>
  </r>
  <r>
    <x v="1059"/>
    <x v="1057"/>
    <s v="DON"/>
    <s v="1060"/>
    <s v="0.000394045"/>
    <s v="0.00000009"/>
    <x v="1024"/>
    <x v="905"/>
    <x v="880"/>
    <x v="822"/>
    <x v="18"/>
    <x v="880"/>
    <x v="948"/>
    <s v="1507352344"/>
  </r>
  <r>
    <x v="1060"/>
    <x v="1058"/>
    <s v="OCOW"/>
    <s v="1061"/>
    <s v="0.00262623"/>
    <s v="0.00000060"/>
    <x v="1025"/>
    <x v="905"/>
    <x v="880"/>
    <x v="822"/>
    <x v="18"/>
    <x v="108"/>
    <x v="949"/>
    <s v="1507352350"/>
  </r>
  <r>
    <x v="1061"/>
    <x v="1059"/>
    <s v="DASHS"/>
    <s v="1062"/>
    <s v="0.0328279"/>
    <s v="0.00000750"/>
    <x v="1026"/>
    <x v="905"/>
    <x v="880"/>
    <x v="822"/>
    <x v="18"/>
    <x v="194"/>
    <x v="950"/>
    <s v="1507352357"/>
  </r>
  <r>
    <x v="1062"/>
    <x v="1060"/>
    <s v="ABC"/>
    <s v="1063"/>
    <s v="11.9287"/>
    <s v="0.00272528"/>
    <x v="1027"/>
    <x v="905"/>
    <x v="880"/>
    <x v="196"/>
    <x v="18"/>
    <x v="881"/>
    <x v="951"/>
    <s v="1507352354"/>
  </r>
  <r>
    <x v="1063"/>
    <x v="1061"/>
    <s v="XDE2"/>
    <s v="1064"/>
    <s v="1.49568"/>
    <s v="0.00034171"/>
    <x v="1028"/>
    <x v="905"/>
    <x v="880"/>
    <x v="886"/>
    <x v="18"/>
    <x v="882"/>
    <x v="952"/>
    <s v="1507352356"/>
  </r>
  <r>
    <x v="1064"/>
    <x v="1062"/>
    <s v="WOW"/>
    <s v="1065"/>
    <s v="0.0000875410"/>
    <s v="0.00000002"/>
    <x v="1029"/>
    <x v="905"/>
    <x v="880"/>
    <x v="822"/>
    <x v="43"/>
    <x v="883"/>
    <x v="953"/>
    <s v="1507352353"/>
  </r>
  <r>
    <x v="1065"/>
    <x v="1063"/>
    <s v="ACES"/>
    <s v="1066"/>
    <s v="0.000259145"/>
    <s v="0.00000006"/>
    <x v="1030"/>
    <x v="905"/>
    <x v="880"/>
    <x v="822"/>
    <x v="456"/>
    <x v="884"/>
    <x v="954"/>
    <s v="1507352351"/>
  </r>
  <r>
    <x v="1066"/>
    <x v="1064"/>
    <s v="QORA"/>
    <s v="1067"/>
    <s v="0.118296"/>
    <s v="0.00002703"/>
    <x v="1031"/>
    <x v="905"/>
    <x v="880"/>
    <x v="144"/>
    <x v="18"/>
    <x v="199"/>
    <x v="955"/>
    <s v="1507352344"/>
  </r>
  <r>
    <x v="1067"/>
    <x v="1065"/>
    <s v="GAY"/>
    <s v="1068"/>
    <s v="0.0248335"/>
    <s v="0.00000567"/>
    <x v="1032"/>
    <x v="905"/>
    <x v="880"/>
    <x v="887"/>
    <x v="64"/>
    <x v="885"/>
    <x v="956"/>
    <s v="1507352352"/>
  </r>
  <r>
    <x v="1068"/>
    <x v="1066"/>
    <s v="VGC"/>
    <s v="1069"/>
    <s v="0.0006566"/>
    <s v="0.00000015"/>
    <x v="1033"/>
    <x v="905"/>
    <x v="880"/>
    <x v="822"/>
    <x v="18"/>
    <x v="886"/>
    <x v="957"/>
    <s v="1507352343"/>
  </r>
  <r>
    <x v="1069"/>
    <x v="1067"/>
    <s v="HYPER"/>
    <s v="1070"/>
    <s v="0.0232421"/>
    <s v="0.00000531"/>
    <x v="1034"/>
    <x v="905"/>
    <x v="880"/>
    <x v="822"/>
    <x v="18"/>
    <x v="786"/>
    <x v="17"/>
    <s v="1507352344"/>
  </r>
  <r>
    <x v="1070"/>
    <x v="1068"/>
    <s v="BTG"/>
    <s v="1071"/>
    <s v="0.609066"/>
    <s v="0.00013915"/>
    <x v="1035"/>
    <x v="905"/>
    <x v="880"/>
    <x v="822"/>
    <x v="18"/>
    <x v="887"/>
    <x v="958"/>
    <s v="1507352341"/>
  </r>
  <r>
    <x v="1071"/>
    <x v="1069"/>
    <s v="BAC"/>
    <s v="1072"/>
    <s v="0.00249492"/>
    <s v="0.00000057"/>
    <x v="1036"/>
    <x v="905"/>
    <x v="880"/>
    <x v="822"/>
    <x v="18"/>
    <x v="888"/>
    <x v="726"/>
    <s v="1507352348"/>
  </r>
  <r>
    <x v="1072"/>
    <x v="1070"/>
    <s v="PRN"/>
    <s v="1073"/>
    <s v="0.0000409275"/>
    <s v="0.000000009"/>
    <x v="1037"/>
    <x v="905"/>
    <x v="880"/>
    <x v="822"/>
    <x v="102"/>
    <x v="889"/>
    <x v="959"/>
    <s v="1507352363"/>
  </r>
  <r>
    <x v="1073"/>
    <x v="1071"/>
    <s v="UTA"/>
    <s v="1074"/>
    <s v="0.00188213"/>
    <s v="0.00000043"/>
    <x v="1038"/>
    <x v="905"/>
    <x v="880"/>
    <x v="822"/>
    <x v="18"/>
    <x v="890"/>
    <x v="960"/>
    <s v="1507352356"/>
  </r>
  <r>
    <x v="1074"/>
    <x v="1072"/>
    <s v="ZENGOLD"/>
    <s v="1075"/>
    <s v="0.0298625"/>
    <s v="0.00000682"/>
    <x v="1039"/>
    <x v="905"/>
    <x v="880"/>
    <x v="822"/>
    <x v="368"/>
    <x v="891"/>
    <x v="961"/>
    <s v="1507352357"/>
  </r>
  <r>
    <x v="1075"/>
    <x v="1073"/>
    <s v="TOPAZ"/>
    <s v="1076"/>
    <s v="0.0437705"/>
    <s v="0.00001000"/>
    <x v="1040"/>
    <x v="905"/>
    <x v="880"/>
    <x v="888"/>
    <x v="18"/>
    <x v="892"/>
    <x v="962"/>
    <s v="1507352357"/>
  </r>
  <r>
    <x v="1076"/>
    <x v="1074"/>
    <s v="EDRC"/>
    <s v="1077"/>
    <s v="0.023227"/>
    <s v="0.00000531"/>
    <x v="1041"/>
    <x v="905"/>
    <x v="880"/>
    <x v="889"/>
    <x v="18"/>
    <x v="893"/>
    <x v="963"/>
    <s v="1507352349"/>
  </r>
  <r>
    <x v="1077"/>
    <x v="1075"/>
    <s v="GOLF"/>
    <s v="1078"/>
    <s v="0.0000437705"/>
    <s v="0.00000001"/>
    <x v="1042"/>
    <x v="905"/>
    <x v="880"/>
    <x v="890"/>
    <x v="18"/>
    <x v="350"/>
    <x v="61"/>
    <s v="1507352351"/>
  </r>
  <r>
    <x v="1078"/>
    <x v="1076"/>
    <s v="XRY"/>
    <s v="1079"/>
    <s v="0.0393969"/>
    <s v="0.00000900"/>
    <x v="1043"/>
    <x v="905"/>
    <x v="880"/>
    <x v="891"/>
    <x v="18"/>
    <x v="894"/>
    <x v="630"/>
    <s v="1507352360"/>
  </r>
  <r>
    <x v="1079"/>
    <x v="1077"/>
    <s v="ZSE"/>
    <s v="1080"/>
    <s v="0.00477098"/>
    <s v="0.00000109"/>
    <x v="1044"/>
    <x v="905"/>
    <x v="880"/>
    <x v="892"/>
    <x v="457"/>
    <x v="895"/>
    <x v="964"/>
    <s v="1507352356"/>
  </r>
  <r>
    <x v="1080"/>
    <x v="1078"/>
    <s v="CHEAP"/>
    <s v="1081"/>
    <s v="0.000131311"/>
    <s v="0.00000003"/>
    <x v="1045"/>
    <x v="905"/>
    <x v="880"/>
    <x v="822"/>
    <x v="43"/>
    <x v="108"/>
    <x v="17"/>
    <s v="1507352358"/>
  </r>
  <r>
    <x v="1081"/>
    <x v="1079"/>
    <s v="GRN"/>
    <s v="1082"/>
    <s v="0.0099359"/>
    <s v="0.00000227"/>
    <x v="1046"/>
    <x v="905"/>
    <x v="880"/>
    <x v="822"/>
    <x v="18"/>
    <x v="543"/>
    <x v="965"/>
    <s v="1507352344"/>
  </r>
  <r>
    <x v="1082"/>
    <x v="1080"/>
    <s v="SOUL"/>
    <s v="1083"/>
    <s v="0.0000437705"/>
    <s v="0.00000001"/>
    <x v="1047"/>
    <x v="905"/>
    <x v="880"/>
    <x v="822"/>
    <x v="18"/>
    <x v="543"/>
    <x v="574"/>
    <s v="1507352351"/>
  </r>
  <r>
    <x v="1083"/>
    <x v="1081"/>
    <s v="CC"/>
    <s v="1084"/>
    <s v="0.0000875410"/>
    <s v="0.00000002"/>
    <x v="1048"/>
    <x v="905"/>
    <x v="880"/>
    <x v="893"/>
    <x v="43"/>
    <x v="194"/>
    <x v="652"/>
    <s v="1507352345"/>
  </r>
  <r>
    <x v="1084"/>
    <x v="1082"/>
    <s v="TOP"/>
    <s v="1085"/>
    <s v="0.000831639"/>
    <s v="0.00000019"/>
    <x v="1049"/>
    <x v="905"/>
    <x v="880"/>
    <x v="822"/>
    <x v="18"/>
    <x v="896"/>
    <x v="17"/>
    <s v="1507352342"/>
  </r>
  <r>
    <x v="1085"/>
    <x v="1083"/>
    <s v="BIT"/>
    <s v="1086"/>
    <s v="0.0117743"/>
    <s v="0.00000269"/>
    <x v="1050"/>
    <x v="905"/>
    <x v="880"/>
    <x v="894"/>
    <x v="18"/>
    <x v="730"/>
    <x v="966"/>
    <s v="1507352351"/>
  </r>
  <r>
    <x v="1086"/>
    <x v="1084"/>
    <s v="MMXVI"/>
    <s v="1087"/>
    <s v="0.00218852"/>
    <s v="0.00000050"/>
    <x v="1051"/>
    <x v="905"/>
    <x v="880"/>
    <x v="822"/>
    <x v="18"/>
    <x v="108"/>
    <x v="967"/>
    <s v="1507352348"/>
  </r>
  <r>
    <x v="1087"/>
    <x v="1085"/>
    <s v="DBG"/>
    <s v="1088"/>
    <s v="0.00249492"/>
    <s v="0.00000057"/>
    <x v="1052"/>
    <x v="905"/>
    <x v="880"/>
    <x v="895"/>
    <x v="43"/>
    <x v="897"/>
    <x v="968"/>
    <s v="1507352350"/>
  </r>
  <r>
    <x v="1088"/>
    <x v="1086"/>
    <s v="OP"/>
    <s v="1089"/>
    <s v="0.00126934"/>
    <s v="0.00000029"/>
    <x v="1053"/>
    <x v="905"/>
    <x v="880"/>
    <x v="896"/>
    <x v="18"/>
    <x v="108"/>
    <x v="17"/>
    <s v="1507352349"/>
  </r>
  <r>
    <x v="1089"/>
    <x v="1087"/>
    <s v="BXC"/>
    <s v="1090"/>
    <s v="0.0019197"/>
    <s v="0.00000044"/>
    <x v="1054"/>
    <x v="905"/>
    <x v="880"/>
    <x v="822"/>
    <x v="458"/>
    <x v="898"/>
    <x v="969"/>
    <s v="1507352351"/>
  </r>
  <r>
    <x v="1090"/>
    <x v="1088"/>
    <s v="FONZ"/>
    <s v="1091"/>
    <s v="0.000306393"/>
    <s v="0.00000007"/>
    <x v="1055"/>
    <x v="905"/>
    <x v="880"/>
    <x v="822"/>
    <x v="18"/>
    <x v="108"/>
    <x v="17"/>
    <s v="1507352347"/>
  </r>
  <r>
    <x v="1091"/>
    <x v="1089"/>
    <s v="GML"/>
    <s v="1092"/>
    <s v="0.00862278"/>
    <s v="0.00000197"/>
    <x v="1056"/>
    <x v="905"/>
    <x v="880"/>
    <x v="822"/>
    <x v="18"/>
    <x v="108"/>
    <x v="970"/>
    <s v="1507352345"/>
  </r>
  <r>
    <x v="1092"/>
    <x v="1090"/>
    <s v="GAIN"/>
    <s v="1093"/>
    <s v="0.000787869"/>
    <s v="0.00000018"/>
    <x v="1057"/>
    <x v="905"/>
    <x v="880"/>
    <x v="822"/>
    <x v="18"/>
    <x v="899"/>
    <x v="971"/>
    <s v="1507352353"/>
  </r>
  <r>
    <x v="1093"/>
    <x v="1091"/>
    <s v="PDG"/>
    <s v="1094"/>
    <s v="0.000175082"/>
    <s v="0.00000004"/>
    <x v="1058"/>
    <x v="905"/>
    <x v="880"/>
    <x v="822"/>
    <x v="18"/>
    <x v="108"/>
    <x v="670"/>
    <s v="1507352354"/>
  </r>
  <r>
    <x v="1094"/>
    <x v="1092"/>
    <s v="HCC"/>
    <s v="1095"/>
    <s v="0.000262623"/>
    <s v="0.00000006"/>
    <x v="1059"/>
    <x v="905"/>
    <x v="880"/>
    <x v="822"/>
    <x v="18"/>
    <x v="194"/>
    <x v="972"/>
    <s v="1507352350"/>
  </r>
  <r>
    <x v="1095"/>
    <x v="1093"/>
    <s v="QBC"/>
    <s v="1096"/>
    <s v="0.00087541"/>
    <s v="0.00000020"/>
    <x v="1060"/>
    <x v="905"/>
    <x v="880"/>
    <x v="822"/>
    <x v="18"/>
    <x v="543"/>
    <x v="973"/>
    <s v="1507352343"/>
  </r>
  <r>
    <x v="1096"/>
    <x v="1094"/>
    <s v="AXIOM"/>
    <s v="1097"/>
    <s v="0.00836016"/>
    <s v="0.00000191"/>
    <x v="1061"/>
    <x v="905"/>
    <x v="880"/>
    <x v="822"/>
    <x v="18"/>
    <x v="194"/>
    <x v="670"/>
    <s v="1507352347"/>
  </r>
  <r>
    <x v="1097"/>
    <x v="1095"/>
    <s v="ANTX"/>
    <s v="1098"/>
    <s v="0.0000437705"/>
    <s v="0.00000001"/>
    <x v="1062"/>
    <x v="905"/>
    <x v="880"/>
    <x v="822"/>
    <x v="18"/>
    <x v="350"/>
    <x v="974"/>
    <s v="1507352359"/>
  </r>
  <r>
    <x v="1098"/>
    <x v="1096"/>
    <s v="CLINT"/>
    <s v="1099"/>
    <s v="0.00643426"/>
    <s v="0.00000147"/>
    <x v="1063"/>
    <x v="905"/>
    <x v="880"/>
    <x v="822"/>
    <x v="43"/>
    <x v="74"/>
    <x v="975"/>
    <s v="1507352350"/>
  </r>
  <r>
    <x v="1099"/>
    <x v="1097"/>
    <s v="DUB"/>
    <s v="1100"/>
    <s v="0.00122557"/>
    <s v="0.00000028"/>
    <x v="1064"/>
    <x v="905"/>
    <x v="880"/>
    <x v="822"/>
    <x v="18"/>
    <x v="108"/>
    <x v="976"/>
    <s v="1507352346"/>
  </r>
  <r>
    <x v="1100"/>
    <x v="1098"/>
    <s v="PSY"/>
    <s v="1101"/>
    <s v="0.0120807"/>
    <s v="0.00000276"/>
    <x v="1065"/>
    <x v="905"/>
    <x v="880"/>
    <x v="822"/>
    <x v="18"/>
    <x v="900"/>
    <x v="977"/>
    <s v="1507352349"/>
  </r>
  <r>
    <x v="1101"/>
    <x v="1099"/>
    <s v="IVZ"/>
    <s v="1102"/>
    <s v="0.437573"/>
    <s v="0.00009997"/>
    <x v="1066"/>
    <x v="905"/>
    <x v="880"/>
    <x v="822"/>
    <x v="43"/>
    <x v="108"/>
    <x v="978"/>
    <s v="1507352347"/>
  </r>
  <r>
    <x v="1102"/>
    <x v="1100"/>
    <s v="OMC"/>
    <s v="1103"/>
    <s v="0.164577"/>
    <s v="0.00003760"/>
    <x v="1067"/>
    <x v="905"/>
    <x v="880"/>
    <x v="897"/>
    <x v="18"/>
    <x v="108"/>
    <x v="17"/>
    <s v="1507352355"/>
  </r>
  <r>
    <x v="1103"/>
    <x v="1101"/>
    <s v="BLX"/>
    <s v="1104"/>
    <s v="1.71368"/>
    <s v="0.00039152"/>
    <x v="1068"/>
    <x v="905"/>
    <x v="880"/>
    <x v="898"/>
    <x v="163"/>
    <x v="202"/>
    <x v="979"/>
    <s v="1507352362"/>
  </r>
  <r>
    <x v="1104"/>
    <x v="1102"/>
    <s v="SKC"/>
    <s v="1105"/>
    <s v="0.00179459"/>
    <s v="0.00000041"/>
    <x v="1069"/>
    <x v="905"/>
    <x v="880"/>
    <x v="822"/>
    <x v="18"/>
    <x v="901"/>
    <x v="980"/>
    <s v="1507352342"/>
  </r>
  <r>
    <x v="1105"/>
    <x v="1103"/>
    <s v="XAU"/>
    <s v="1106"/>
    <s v="0.0209661"/>
    <s v="0.00000479"/>
    <x v="1070"/>
    <x v="905"/>
    <x v="880"/>
    <x v="822"/>
    <x v="43"/>
    <x v="902"/>
    <x v="981"/>
    <s v="1507352346"/>
  </r>
  <r>
    <x v="1106"/>
    <x v="1104"/>
    <s v="NBIT"/>
    <s v="1107"/>
    <s v="0.0122557"/>
    <s v="0.00000280"/>
    <x v="1071"/>
    <x v="905"/>
    <x v="880"/>
    <x v="822"/>
    <x v="18"/>
    <x v="108"/>
    <x v="982"/>
    <s v="1507352355"/>
  </r>
  <r>
    <x v="1107"/>
    <x v="1105"/>
    <s v="SHA"/>
    <s v="1108"/>
    <s v="0.000700328"/>
    <s v="0.00000016"/>
    <x v="1072"/>
    <x v="905"/>
    <x v="880"/>
    <x v="822"/>
    <x v="18"/>
    <x v="194"/>
    <x v="983"/>
    <s v="1507352344"/>
  </r>
  <r>
    <x v="1108"/>
    <x v="1106"/>
    <s v="DISK"/>
    <s v="1109"/>
    <s v="0.000700328"/>
    <s v="0.00000016"/>
    <x v="1073"/>
    <x v="905"/>
    <x v="880"/>
    <x v="899"/>
    <x v="18"/>
    <x v="903"/>
    <x v="984"/>
    <s v="1507352349"/>
  </r>
  <r>
    <x v="1109"/>
    <x v="1107"/>
    <s v="KARMA"/>
    <s v="1110"/>
    <s v="0.0000437705"/>
    <s v="0.00000001"/>
    <x v="1074"/>
    <x v="905"/>
    <x v="880"/>
    <x v="900"/>
    <x v="18"/>
    <x v="108"/>
    <x v="670"/>
    <s v="1507352342"/>
  </r>
  <r>
    <x v="1110"/>
    <x v="1108"/>
    <s v="X2"/>
    <s v="1111"/>
    <s v="0.0000875410"/>
    <s v="0.00000002"/>
    <x v="1075"/>
    <x v="905"/>
    <x v="880"/>
    <x v="822"/>
    <x v="18"/>
    <x v="108"/>
    <x v="670"/>
    <s v="1507352348"/>
  </r>
  <r>
    <x v="1111"/>
    <x v="1109"/>
    <s v="ELC"/>
    <s v="1112"/>
    <s v="0.106706"/>
    <s v="0.00002438"/>
    <x v="1076"/>
    <x v="905"/>
    <x v="880"/>
    <x v="822"/>
    <x v="134"/>
    <x v="904"/>
    <x v="985"/>
    <s v="1507352340"/>
  </r>
  <r>
    <x v="1112"/>
    <x v="1110"/>
    <s v="QBT"/>
    <s v="1113"/>
    <s v="0.00126678"/>
    <s v="0.00000029"/>
    <x v="1077"/>
    <x v="905"/>
    <x v="880"/>
    <x v="822"/>
    <x v="68"/>
    <x v="108"/>
    <x v="758"/>
    <s v="1507352352"/>
  </r>
  <r>
    <x v="1113"/>
    <x v="1111"/>
    <s v="MRC"/>
    <s v="1114"/>
    <s v="0.0000437705"/>
    <s v="0.00000001"/>
    <x v="1078"/>
    <x v="905"/>
    <x v="880"/>
    <x v="822"/>
    <x v="18"/>
    <x v="543"/>
    <x v="17"/>
    <s v="1507352342"/>
  </r>
  <r>
    <x v="1114"/>
    <x v="1112"/>
    <s v="PRM"/>
    <s v="1115"/>
    <s v="0.0011818"/>
    <s v="0.00000027"/>
    <x v="1079"/>
    <x v="905"/>
    <x v="880"/>
    <x v="822"/>
    <x v="43"/>
    <x v="905"/>
    <x v="986"/>
    <s v="1507352350"/>
  </r>
  <r>
    <x v="1115"/>
    <x v="1113"/>
    <s v="EGG"/>
    <s v="1116"/>
    <s v="0.0166766"/>
    <s v="0.00000381"/>
    <x v="1080"/>
    <x v="905"/>
    <x v="880"/>
    <x v="822"/>
    <x v="43"/>
    <x v="906"/>
    <x v="17"/>
    <s v="1507352346"/>
  </r>
  <r>
    <x v="1116"/>
    <x v="1114"/>
    <s v="VTY"/>
    <s v="1117"/>
    <s v="0.0000437705"/>
    <s v="0.00000001"/>
    <x v="1081"/>
    <x v="905"/>
    <x v="880"/>
    <x v="901"/>
    <x v="355"/>
    <x v="108"/>
    <x v="987"/>
    <s v="1507352352"/>
  </r>
  <r>
    <x v="1117"/>
    <x v="1115"/>
    <s v="SFE"/>
    <s v="1118"/>
    <s v="0.0000437705"/>
    <s v="0.00000001"/>
    <x v="831"/>
    <x v="905"/>
    <x v="880"/>
    <x v="822"/>
    <x v="18"/>
    <x v="350"/>
    <x v="670"/>
    <s v="1507352350"/>
  </r>
  <r>
    <x v="1118"/>
    <x v="1116"/>
    <s v="SYNC"/>
    <s v="1119"/>
    <s v="190.077"/>
    <s v="0.0430007"/>
    <x v="576"/>
    <x v="905"/>
    <x v="880"/>
    <x v="822"/>
    <x v="355"/>
    <x v="108"/>
    <x v="17"/>
    <s v="1506952145"/>
  </r>
  <r>
    <x v="1119"/>
    <x v="1117"/>
    <s v="NTCC"/>
    <s v="1120"/>
    <s v="0.000207976"/>
    <s v="0.00000005"/>
    <x v="576"/>
    <x v="905"/>
    <x v="880"/>
    <x v="822"/>
    <x v="355"/>
    <x v="108"/>
    <x v="17"/>
    <s v="1507181653"/>
  </r>
  <r>
    <x v="1120"/>
    <x v="1118"/>
    <s v="RCN"/>
    <s v="1121"/>
    <s v="0.0000440113"/>
    <s v="0.00000001"/>
    <x v="576"/>
    <x v="905"/>
    <x v="880"/>
    <x v="822"/>
    <x v="355"/>
    <x v="907"/>
    <x v="987"/>
    <s v="1507276453"/>
  </r>
  <r>
    <x v="1121"/>
    <x v="1119"/>
    <s v="CME"/>
    <s v="1122"/>
    <s v="0.0000441662"/>
    <s v="0.00000001"/>
    <x v="576"/>
    <x v="905"/>
    <x v="880"/>
    <x v="822"/>
    <x v="355"/>
    <x v="908"/>
    <x v="988"/>
    <s v="1507274050"/>
  </r>
  <r>
    <x v="1122"/>
    <x v="1120"/>
    <s v="OPES"/>
    <s v="1123"/>
    <s v="0.00123284"/>
    <s v="0.00000028"/>
    <x v="576"/>
    <x v="905"/>
    <x v="880"/>
    <x v="822"/>
    <x v="355"/>
    <x v="692"/>
    <x v="17"/>
    <s v="1507273450"/>
  </r>
  <r>
    <x v="1123"/>
    <x v="1121"/>
    <s v="DCRE"/>
    <s v="1124"/>
    <s v="0.131412"/>
    <s v="0.00003005"/>
    <x v="576"/>
    <x v="905"/>
    <x v="880"/>
    <x v="822"/>
    <x v="355"/>
    <x v="904"/>
    <x v="989"/>
    <s v="1507341847"/>
  </r>
  <r>
    <x v="1124"/>
    <x v="1122"/>
    <s v="MIU"/>
    <s v="1125"/>
    <s v="0.0000431067"/>
    <s v="0.00000001"/>
    <x v="576"/>
    <x v="905"/>
    <x v="880"/>
    <x v="902"/>
    <x v="355"/>
    <x v="108"/>
    <x v="17"/>
    <s v="1507046962"/>
  </r>
  <r>
    <x v="1125"/>
    <x v="1123"/>
    <s v="STRB"/>
    <s v="1126"/>
    <s v="0.0000427916"/>
    <s v="0.00000001"/>
    <x v="576"/>
    <x v="905"/>
    <x v="880"/>
    <x v="822"/>
    <x v="355"/>
    <x v="108"/>
    <x v="198"/>
    <s v="1507050849"/>
  </r>
  <r>
    <x v="1126"/>
    <x v="1124"/>
    <s v="MAVRO"/>
    <s v="1127"/>
    <s v="0.00543698"/>
    <s v="0.00000124"/>
    <x v="576"/>
    <x v="905"/>
    <x v="880"/>
    <x v="903"/>
    <x v="355"/>
    <x v="96"/>
    <x v="990"/>
    <s v="1507333156"/>
  </r>
  <r>
    <x v="1127"/>
    <x v="1125"/>
    <s v="WSX"/>
    <s v="1128"/>
    <s v="0.00165198"/>
    <s v="0.00000038"/>
    <x v="576"/>
    <x v="905"/>
    <x v="880"/>
    <x v="822"/>
    <x v="355"/>
    <x v="701"/>
    <x v="991"/>
    <s v="1507320845"/>
  </r>
  <r>
    <x v="1128"/>
    <x v="1126"/>
    <s v="AMIS"/>
    <s v="1129"/>
    <s v="649.093"/>
    <s v="0.148079"/>
    <x v="576"/>
    <x v="905"/>
    <x v="880"/>
    <x v="191"/>
    <x v="355"/>
    <x v="909"/>
    <x v="17"/>
    <s v="1507337056"/>
  </r>
  <r>
    <x v="1129"/>
    <x v="1127"/>
    <s v="CBD"/>
    <s v="1130"/>
    <s v="0.00133381"/>
    <s v="0.00000031"/>
    <x v="576"/>
    <x v="905"/>
    <x v="880"/>
    <x v="822"/>
    <x v="355"/>
    <x v="108"/>
    <x v="992"/>
    <s v="1507209852"/>
  </r>
  <r>
    <x v="1130"/>
    <x v="1128"/>
    <s v="KASHH"/>
    <s v="1131"/>
    <s v="0.0000674553"/>
    <s v="0.00000002"/>
    <x v="576"/>
    <x v="905"/>
    <x v="880"/>
    <x v="822"/>
    <x v="355"/>
    <x v="910"/>
    <x v="993"/>
    <s v="1507314557"/>
  </r>
  <r>
    <x v="1131"/>
    <x v="1129"/>
    <s v="TRICK"/>
    <s v="1132"/>
    <s v="0.00661208"/>
    <s v="0.00000150"/>
    <x v="576"/>
    <x v="905"/>
    <x v="880"/>
    <x v="822"/>
    <x v="355"/>
    <x v="911"/>
    <x v="994"/>
    <s v="1507289947"/>
  </r>
  <r>
    <x v="1132"/>
    <x v="1130"/>
    <s v="LAZ"/>
    <s v="1133"/>
    <s v="0.00150826"/>
    <s v="0.00000035"/>
    <x v="576"/>
    <x v="905"/>
    <x v="880"/>
    <x v="822"/>
    <x v="355"/>
    <x v="108"/>
    <x v="17"/>
    <s v="1507224252"/>
  </r>
  <r>
    <x v="1133"/>
    <x v="1131"/>
    <s v="BGR"/>
    <s v="1134"/>
    <s v="0.0000623854"/>
    <s v="0.00000002"/>
    <x v="576"/>
    <x v="905"/>
    <x v="880"/>
    <x v="822"/>
    <x v="355"/>
    <x v="108"/>
    <x v="337"/>
    <s v="1507194245"/>
  </r>
  <r>
    <x v="1134"/>
    <x v="1132"/>
    <s v="POKE"/>
    <s v="1135"/>
    <s v="0.0000871315"/>
    <s v="0.00000002"/>
    <x v="576"/>
    <x v="905"/>
    <x v="880"/>
    <x v="822"/>
    <x v="355"/>
    <x v="912"/>
    <x v="401"/>
    <s v="1507316052"/>
  </r>
  <r>
    <x v="1135"/>
    <x v="1133"/>
    <s v="XOT"/>
    <s v="1136"/>
    <s v="732.307"/>
    <s v="0.169"/>
    <x v="576"/>
    <x v="905"/>
    <x v="880"/>
    <x v="203"/>
    <x v="355"/>
    <x v="913"/>
    <x v="995"/>
    <s v="1507266857"/>
  </r>
  <r>
    <x v="1136"/>
    <x v="1134"/>
    <s v="AXF"/>
    <s v="1137"/>
    <s v="0.068043"/>
    <s v="0.00001550"/>
    <x v="576"/>
    <x v="905"/>
    <x v="880"/>
    <x v="822"/>
    <x v="355"/>
    <x v="108"/>
    <x v="996"/>
    <s v="1506960262"/>
  </r>
  <r>
    <x v="1137"/>
    <x v="1135"/>
    <s v="LTH"/>
    <s v="1138"/>
    <s v="0.000344985"/>
    <s v="0.00000008"/>
    <x v="576"/>
    <x v="905"/>
    <x v="880"/>
    <x v="822"/>
    <x v="355"/>
    <x v="108"/>
    <x v="997"/>
    <s v="1507210755"/>
  </r>
  <r>
    <x v="1138"/>
    <x v="1136"/>
    <s v="LKC"/>
    <s v="1139"/>
    <s v="0.000174146"/>
    <s v="0.00000004"/>
    <x v="576"/>
    <x v="905"/>
    <x v="880"/>
    <x v="822"/>
    <x v="355"/>
    <x v="914"/>
    <x v="166"/>
    <s v="1507329251"/>
  </r>
  <r>
    <x v="1139"/>
    <x v="1137"/>
    <s v="MONETA"/>
    <s v="1140"/>
    <s v="0.000351374"/>
    <s v="0.00000008"/>
    <x v="576"/>
    <x v="905"/>
    <x v="880"/>
    <x v="822"/>
    <x v="355"/>
    <x v="915"/>
    <x v="998"/>
    <s v="1507302562"/>
  </r>
  <r>
    <x v="1140"/>
    <x v="1138"/>
    <s v="TEAM"/>
    <s v="1141"/>
    <s v="0.000126239"/>
    <s v="0.00000003"/>
    <x v="576"/>
    <x v="905"/>
    <x v="880"/>
    <x v="904"/>
    <x v="355"/>
    <x v="108"/>
    <x v="999"/>
    <s v="1507123157"/>
  </r>
  <r>
    <x v="1141"/>
    <x v="1139"/>
    <s v="SHELL"/>
    <s v="1142"/>
    <s v="0.0275796"/>
    <s v="0.00000650"/>
    <x v="576"/>
    <x v="905"/>
    <x v="880"/>
    <x v="822"/>
    <x v="355"/>
    <x v="108"/>
    <x v="17"/>
    <s v="1507114446"/>
  </r>
  <r>
    <x v="1142"/>
    <x v="1140"/>
    <s v="BGC"/>
    <s v="1143"/>
    <s v="0.000741343"/>
    <s v="0.00000017"/>
    <x v="576"/>
    <x v="905"/>
    <x v="880"/>
    <x v="905"/>
    <x v="355"/>
    <x v="108"/>
    <x v="1000"/>
    <s v="1506866355"/>
  </r>
  <r>
    <x v="1143"/>
    <x v="1141"/>
    <s v="FEDS"/>
    <s v="1144"/>
    <s v="0.0000081216"/>
    <s v="0.000000002"/>
    <x v="576"/>
    <x v="905"/>
    <x v="880"/>
    <x v="906"/>
    <x v="355"/>
    <x v="108"/>
    <x v="1001"/>
    <s v="1506860653"/>
  </r>
  <r>
    <x v="1144"/>
    <x v="1142"/>
    <s v="DTF"/>
    <s v="1145"/>
    <s v="0.000450796"/>
    <s v="0.00000011"/>
    <x v="576"/>
    <x v="905"/>
    <x v="880"/>
    <x v="907"/>
    <x v="355"/>
    <x v="108"/>
    <x v="611"/>
    <s v="1506765554"/>
  </r>
  <r>
    <x v="1145"/>
    <x v="1143"/>
    <s v="FBC"/>
    <s v="1146"/>
    <s v="0.000751326"/>
    <s v="0.00000018"/>
    <x v="576"/>
    <x v="905"/>
    <x v="880"/>
    <x v="908"/>
    <x v="355"/>
    <x v="108"/>
    <x v="611"/>
    <s v="15067628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3:H95" firstHeaderRow="1" firstDataRow="1" firstDataCol="7"/>
  <pivotFields count="14">
    <pivotField axis="axisRow" compact="0" outline="0" showAll="0" defaultSubtotal="0">
      <items count="1146">
        <item x="63"/>
        <item x="373"/>
        <item x="860"/>
        <item x="342"/>
        <item x="792"/>
        <item x="492"/>
        <item x="399"/>
        <item x="640"/>
        <item x="950"/>
        <item x="901"/>
        <item x="1065"/>
        <item x="522"/>
        <item x="954"/>
        <item x="377"/>
        <item x="351"/>
        <item x="153"/>
        <item x="1010"/>
        <item x="78"/>
        <item x="374"/>
        <item x="103"/>
        <item x="64"/>
        <item x="194"/>
        <item x="158"/>
        <item x="776"/>
        <item x="79"/>
        <item x="789"/>
        <item x="796"/>
        <item x="993"/>
        <item x="1062"/>
        <item x="592"/>
        <item x="630"/>
        <item x="1128"/>
        <item x="790"/>
        <item x="982"/>
        <item x="562"/>
        <item x="1044"/>
        <item x="496"/>
        <item x="743"/>
        <item x="552"/>
        <item x="1097"/>
        <item x="268"/>
        <item x="575"/>
        <item x="295"/>
        <item x="742"/>
        <item x="84"/>
        <item x="798"/>
        <item x="579"/>
        <item x="406"/>
        <item x="35"/>
        <item x="539"/>
        <item x="881"/>
        <item x="735"/>
        <item x="22"/>
        <item x="821"/>
        <item x="139"/>
        <item x="1028"/>
        <item x="581"/>
        <item x="544"/>
        <item x="998"/>
        <item x="105"/>
        <item x="225"/>
        <item x="992"/>
        <item x="337"/>
        <item x="491"/>
        <item x="930"/>
        <item x="591"/>
        <item x="28"/>
        <item x="939"/>
        <item x="269"/>
        <item x="650"/>
        <item x="986"/>
        <item x="164"/>
        <item x="975"/>
        <item x="1136"/>
        <item x="1096"/>
        <item x="347"/>
        <item x="1142"/>
        <item x="65"/>
        <item x="1024"/>
        <item x="29"/>
        <item x="400"/>
        <item x="1005"/>
        <item x="883"/>
        <item x="215"/>
        <item x="850"/>
        <item x="812"/>
        <item x="286"/>
        <item x="550"/>
        <item x="728"/>
        <item x="1041"/>
        <item x="968"/>
        <item x="530"/>
        <item x="727"/>
        <item x="788"/>
        <item x="432"/>
        <item x="45"/>
        <item x="867"/>
        <item x="810"/>
        <item x="536"/>
        <item x="1017"/>
        <item x="297"/>
        <item x="698"/>
        <item x="1071"/>
        <item x="649"/>
        <item x="635"/>
        <item x="117"/>
        <item x="258"/>
        <item x="503"/>
        <item x="1089"/>
        <item x="1037"/>
        <item x="1015"/>
        <item x="244"/>
        <item x="819"/>
        <item x="0"/>
        <item x="751"/>
        <item x="3"/>
        <item x="56"/>
        <item x="527"/>
        <item x="513"/>
        <item x="280"/>
        <item x="659"/>
        <item x="962"/>
        <item x="11"/>
        <item x="261"/>
        <item x="266"/>
        <item x="747"/>
        <item x="83"/>
        <item x="203"/>
        <item x="533"/>
        <item x="1019"/>
        <item x="1070"/>
        <item x="712"/>
        <item x="265"/>
        <item x="330"/>
        <item x="1026"/>
        <item x="580"/>
        <item x="844"/>
        <item x="93"/>
        <item x="932"/>
        <item x="448"/>
        <item x="246"/>
        <item x="44"/>
        <item x="683"/>
        <item x="499"/>
        <item x="305"/>
        <item x="500"/>
        <item x="327"/>
        <item x="882"/>
        <item x="618"/>
        <item x="754"/>
        <item x="188"/>
        <item x="140"/>
        <item x="834"/>
        <item x="689"/>
        <item x="392"/>
        <item x="846"/>
        <item x="1054"/>
        <item x="292"/>
        <item x="245"/>
        <item x="1103"/>
        <item x="52"/>
        <item x="480"/>
        <item x="251"/>
        <item x="350"/>
        <item x="876"/>
        <item x="922"/>
        <item x="680"/>
        <item x="1133"/>
        <item x="548"/>
        <item x="673"/>
        <item x="602"/>
        <item x="865"/>
        <item x="768"/>
        <item x="988"/>
        <item x="345"/>
        <item x="335"/>
        <item x="515"/>
        <item x="436"/>
        <item x="894"/>
        <item x="913"/>
        <item x="617"/>
        <item x="441"/>
        <item x="1006"/>
        <item x="772"/>
        <item x="665"/>
        <item x="181"/>
        <item x="888"/>
        <item x="934"/>
        <item x="58"/>
        <item x="413"/>
        <item x="25"/>
        <item x="69"/>
        <item x="825"/>
        <item x="746"/>
        <item x="593"/>
        <item x="896"/>
        <item x="905"/>
        <item x="540"/>
        <item x="612"/>
        <item x="354"/>
        <item x="644"/>
        <item x="524"/>
        <item x="418"/>
        <item x="606"/>
        <item x="17"/>
        <item x="861"/>
        <item x="1121"/>
        <item x="643"/>
        <item x="341"/>
        <item x="750"/>
        <item x="1129"/>
        <item x="471"/>
        <item x="877"/>
        <item x="75"/>
        <item x="312"/>
        <item x="317"/>
        <item x="41"/>
        <item x="547"/>
        <item x="1080"/>
        <item x="703"/>
        <item x="344"/>
        <item x="556"/>
        <item x="193"/>
        <item x="949"/>
        <item x="769"/>
        <item x="298"/>
        <item x="55"/>
        <item x="138"/>
        <item x="1098"/>
        <item x="109"/>
        <item x="935"/>
        <item x="920"/>
        <item x="654"/>
        <item x="97"/>
        <item x="560"/>
        <item x="691"/>
        <item x="708"/>
        <item x="133"/>
        <item x="804"/>
        <item x="478"/>
        <item x="365"/>
        <item x="931"/>
        <item x="814"/>
        <item x="166"/>
        <item x="828"/>
        <item x="864"/>
        <item x="302"/>
        <item x="774"/>
        <item x="278"/>
        <item x="135"/>
        <item x="990"/>
        <item x="306"/>
        <item x="428"/>
        <item x="829"/>
        <item x="356"/>
        <item x="264"/>
        <item x="134"/>
        <item x="561"/>
        <item x="146"/>
        <item x="862"/>
        <item x="595"/>
        <item x="538"/>
        <item x="383"/>
        <item x="818"/>
        <item x="641"/>
        <item x="587"/>
        <item x="701"/>
        <item x="438"/>
        <item x="362"/>
        <item x="508"/>
        <item x="872"/>
        <item x="1112"/>
        <item x="279"/>
        <item x="283"/>
        <item x="506"/>
        <item x="1083"/>
        <item x="1047"/>
        <item x="973"/>
        <item x="692"/>
        <item x="479"/>
        <item x="199"/>
        <item x="857"/>
        <item x="368"/>
        <item x="1108"/>
        <item x="670"/>
        <item x="476"/>
        <item x="5"/>
        <item x="616"/>
        <item x="1061"/>
        <item x="211"/>
        <item x="470"/>
        <item x="761"/>
        <item x="120"/>
        <item x="114"/>
        <item x="40"/>
        <item x="328"/>
        <item x="1123"/>
        <item x="453"/>
        <item x="262"/>
        <item x="100"/>
        <item x="831"/>
        <item x="927"/>
        <item x="488"/>
        <item x="620"/>
        <item x="924"/>
        <item x="142"/>
        <item x="767"/>
        <item x="51"/>
        <item x="715"/>
        <item x="1087"/>
        <item x="682"/>
        <item x="900"/>
        <item x="463"/>
        <item x="1144"/>
        <item x="574"/>
        <item x="184"/>
        <item x="434"/>
        <item x="549"/>
        <item x="46"/>
        <item x="386"/>
        <item x="431"/>
        <item x="125"/>
        <item x="842"/>
        <item x="263"/>
        <item x="54"/>
        <item x="687"/>
        <item x="870"/>
        <item x="1059"/>
        <item x="326"/>
        <item x="415"/>
        <item x="780"/>
        <item x="838"/>
        <item x="473"/>
        <item x="771"/>
        <item x="531"/>
        <item x="482"/>
        <item x="257"/>
        <item x="1099"/>
        <item x="311"/>
        <item x="906"/>
        <item x="588"/>
        <item x="571"/>
        <item x="911"/>
        <item x="235"/>
        <item x="275"/>
        <item x="234"/>
        <item x="520"/>
        <item x="175"/>
        <item x="88"/>
        <item x="229"/>
        <item x="1076"/>
        <item x="1115"/>
        <item x="866"/>
        <item x="380"/>
        <item x="156"/>
        <item x="1111"/>
        <item x="102"/>
        <item x="518"/>
        <item x="655"/>
        <item x="675"/>
        <item x="366"/>
        <item x="890"/>
        <item x="287"/>
        <item x="352"/>
        <item x="686"/>
        <item x="137"/>
        <item x="599"/>
        <item x="273"/>
        <item x="951"/>
        <item x="197"/>
        <item x="892"/>
        <item x="902"/>
        <item x="27"/>
        <item x="397"/>
        <item x="276"/>
        <item x="958"/>
        <item x="555"/>
        <item x="369"/>
        <item x="495"/>
        <item x="333"/>
        <item x="1"/>
        <item x="10"/>
        <item x="252"/>
        <item x="1050"/>
        <item x="610"/>
        <item x="455"/>
        <item x="143"/>
        <item x="956"/>
        <item x="757"/>
        <item x="290"/>
        <item x="334"/>
        <item x="731"/>
        <item x="711"/>
        <item x="1058"/>
        <item x="285"/>
        <item x="180"/>
        <item x="980"/>
        <item x="42"/>
        <item x="112"/>
        <item x="468"/>
        <item x="439"/>
        <item x="908"/>
        <item x="393"/>
        <item x="1045"/>
        <item x="250"/>
        <item x="419"/>
        <item x="1143"/>
        <item x="1145"/>
        <item x="469"/>
        <item x="608"/>
        <item x="739"/>
        <item x="999"/>
        <item x="1085"/>
        <item x="1025"/>
        <item x="118"/>
        <item x="53"/>
        <item x="1016"/>
        <item x="809"/>
        <item x="517"/>
        <item x="219"/>
        <item x="652"/>
        <item x="651"/>
        <item x="270"/>
        <item x="1090"/>
        <item x="405"/>
        <item x="505"/>
        <item x="740"/>
        <item x="1052"/>
        <item x="563"/>
        <item x="679"/>
        <item x="422"/>
        <item x="619"/>
        <item x="446"/>
        <item x="427"/>
        <item x="645"/>
        <item x="385"/>
        <item x="59"/>
        <item x="987"/>
        <item x="903"/>
        <item x="489"/>
        <item x="847"/>
        <item x="647"/>
        <item x="207"/>
        <item x="833"/>
        <item x="43"/>
        <item x="1091"/>
        <item x="700"/>
        <item x="967"/>
        <item x="766"/>
        <item x="26"/>
        <item x="1067"/>
        <item x="786"/>
        <item x="487"/>
        <item x="878"/>
        <item x="863"/>
        <item x="319"/>
        <item x="976"/>
        <item x="409"/>
        <item x="719"/>
        <item x="1002"/>
        <item x="626"/>
        <item x="284"/>
        <item x="541"/>
        <item x="749"/>
        <item x="49"/>
        <item x="923"/>
        <item x="526"/>
        <item x="293"/>
        <item x="1029"/>
        <item x="738"/>
        <item x="803"/>
        <item x="690"/>
        <item x="953"/>
        <item x="37"/>
        <item x="1077"/>
        <item x="201"/>
        <item x="917"/>
        <item x="614"/>
        <item x="543"/>
        <item x="1081"/>
        <item x="705"/>
        <item x="604"/>
        <item x="204"/>
        <item x="239"/>
        <item x="398"/>
        <item x="755"/>
        <item x="98"/>
        <item x="928"/>
        <item x="706"/>
        <item x="183"/>
        <item x="70"/>
        <item x="820"/>
        <item x="794"/>
        <item x="974"/>
        <item x="348"/>
        <item x="1094"/>
        <item x="572"/>
        <item x="535"/>
        <item x="260"/>
        <item x="424"/>
        <item x="313"/>
        <item x="501"/>
        <item x="785"/>
        <item x="429"/>
        <item x="854"/>
        <item x="596"/>
        <item x="248"/>
        <item x="634"/>
        <item x="963"/>
        <item x="677"/>
        <item x="521"/>
        <item x="24"/>
        <item x="277"/>
        <item x="155"/>
        <item x="915"/>
        <item x="372"/>
        <item x="303"/>
        <item x="1069"/>
        <item x="390"/>
        <item x="639"/>
        <item x="852"/>
        <item x="756"/>
        <item x="667"/>
        <item x="559"/>
        <item x="38"/>
        <item x="585"/>
        <item x="461"/>
        <item x="840"/>
        <item x="848"/>
        <item x="594"/>
        <item x="242"/>
        <item x="748"/>
        <item x="921"/>
        <item x="941"/>
        <item x="907"/>
        <item x="590"/>
        <item x="936"/>
        <item x="430"/>
        <item x="412"/>
        <item x="586"/>
        <item x="396"/>
        <item x="1020"/>
        <item x="243"/>
        <item x="1135"/>
        <item x="360"/>
        <item x="507"/>
        <item x="187"/>
        <item x="1101"/>
        <item x="89"/>
        <item x="144"/>
        <item x="8"/>
        <item x="979"/>
        <item x="1038"/>
        <item x="782"/>
        <item x="601"/>
        <item x="589"/>
        <item x="227"/>
        <item x="378"/>
        <item x="458"/>
        <item x="795"/>
        <item x="732"/>
        <item x="577"/>
        <item x="886"/>
        <item x="808"/>
        <item x="709"/>
        <item x="725"/>
        <item x="457"/>
        <item x="1109"/>
        <item x="1130"/>
        <item x="984"/>
        <item x="443"/>
        <item x="1004"/>
        <item x="717"/>
        <item x="77"/>
        <item x="697"/>
        <item x="74"/>
        <item x="830"/>
        <item x="802"/>
        <item x="623"/>
        <item x="910"/>
        <item x="36"/>
        <item x="190"/>
        <item x="832"/>
        <item x="646"/>
        <item x="770"/>
        <item x="702"/>
        <item x="23"/>
        <item x="200"/>
        <item x="510"/>
        <item x="929"/>
        <item x="1137"/>
        <item x="1132"/>
        <item x="836"/>
        <item x="364"/>
        <item x="159"/>
        <item x="1039"/>
        <item x="567"/>
        <item x="983"/>
        <item x="570"/>
        <item x="895"/>
        <item x="185"/>
        <item x="381"/>
        <item x="1138"/>
        <item x="404"/>
        <item x="454"/>
        <item x="14"/>
        <item x="726"/>
        <item x="569"/>
        <item x="4"/>
        <item x="546"/>
        <item x="566"/>
        <item x="835"/>
        <item x="440"/>
        <item x="214"/>
        <item x="81"/>
        <item x="671"/>
        <item x="714"/>
        <item x="583"/>
        <item x="843"/>
        <item x="174"/>
        <item x="66"/>
        <item x="628"/>
        <item x="942"/>
        <item x="723"/>
        <item x="371"/>
        <item x="957"/>
        <item x="565"/>
        <item x="31"/>
        <item x="893"/>
        <item x="426"/>
        <item x="554"/>
        <item x="753"/>
        <item x="325"/>
        <item x="1000"/>
        <item x="1027"/>
        <item x="545"/>
        <item x="1126"/>
        <item x="597"/>
        <item x="622"/>
        <item x="60"/>
        <item x="444"/>
        <item x="96"/>
        <item x="331"/>
        <item x="389"/>
        <item x="376"/>
        <item x="47"/>
        <item x="611"/>
        <item x="855"/>
        <item x="127"/>
        <item x="1113"/>
        <item x="899"/>
        <item x="827"/>
        <item x="807"/>
        <item x="961"/>
        <item x="384"/>
        <item x="401"/>
        <item x="669"/>
        <item x="918"/>
        <item x="358"/>
        <item x="1124"/>
        <item x="1086"/>
        <item x="1023"/>
        <item x="86"/>
        <item x="90"/>
        <item x="462"/>
        <item x="466"/>
        <item x="76"/>
        <item x="387"/>
        <item x="116"/>
        <item x="9"/>
        <item x="1139"/>
        <item x="161"/>
        <item x="119"/>
        <item x="797"/>
        <item x="985"/>
        <item x="600"/>
        <item x="213"/>
        <item x="970"/>
        <item x="160"/>
        <item x="1051"/>
        <item x="912"/>
        <item x="713"/>
        <item x="231"/>
        <item x="734"/>
        <item x="281"/>
        <item x="321"/>
        <item x="170"/>
        <item x="163"/>
        <item x="925"/>
        <item x="355"/>
        <item x="94"/>
        <item x="124"/>
        <item x="6"/>
        <item x="7"/>
        <item x="230"/>
        <item x="1119"/>
        <item x="1106"/>
        <item x="615"/>
        <item x="411"/>
        <item x="542"/>
        <item x="525"/>
        <item x="259"/>
        <item x="551"/>
        <item x="353"/>
        <item x="475"/>
        <item x="625"/>
        <item x="157"/>
        <item x="73"/>
        <item x="1043"/>
        <item x="210"/>
        <item x="459"/>
        <item x="885"/>
        <item x="113"/>
        <item x="249"/>
        <item x="420"/>
        <item x="162"/>
        <item x="320"/>
        <item x="237"/>
        <item x="80"/>
        <item x="718"/>
        <item x="684"/>
        <item x="178"/>
        <item x="222"/>
        <item x="172"/>
        <item x="349"/>
        <item x="1060"/>
        <item x="534"/>
        <item x="493"/>
        <item x="176"/>
        <item x="1102"/>
        <item x="12"/>
        <item x="202"/>
        <item x="402"/>
        <item x="681"/>
        <item x="1088"/>
        <item x="1122"/>
        <item x="294"/>
        <item x="314"/>
        <item x="633"/>
        <item x="839"/>
        <item x="914"/>
        <item x="873"/>
        <item x="955"/>
        <item x="884"/>
        <item x="1012"/>
        <item x="977"/>
        <item x="502"/>
        <item x="460"/>
        <item x="741"/>
        <item x="382"/>
        <item x="92"/>
        <item x="301"/>
        <item x="730"/>
        <item x="141"/>
        <item x="632"/>
        <item x="737"/>
        <item x="966"/>
        <item x="1031"/>
        <item x="1035"/>
        <item x="121"/>
        <item x="212"/>
        <item x="964"/>
        <item x="233"/>
        <item x="288"/>
        <item x="668"/>
        <item x="733"/>
        <item x="801"/>
        <item x="484"/>
        <item x="822"/>
        <item x="1018"/>
        <item x="442"/>
        <item x="638"/>
        <item x="192"/>
        <item x="232"/>
        <item x="1093"/>
        <item x="1053"/>
        <item x="32"/>
        <item x="897"/>
        <item x="504"/>
        <item x="744"/>
        <item x="223"/>
        <item x="149"/>
        <item x="1134"/>
        <item x="169"/>
        <item x="779"/>
        <item x="823"/>
        <item x="57"/>
        <item x="868"/>
        <item x="481"/>
        <item x="254"/>
        <item x="191"/>
        <item x="898"/>
        <item x="765"/>
        <item x="1032"/>
        <item x="1001"/>
        <item x="300"/>
        <item x="206"/>
        <item x="329"/>
        <item x="678"/>
        <item x="1049"/>
        <item x="845"/>
        <item x="1114"/>
        <item x="241"/>
        <item x="477"/>
        <item x="267"/>
        <item x="568"/>
        <item x="253"/>
        <item x="209"/>
        <item x="1072"/>
        <item x="637"/>
        <item x="1100"/>
        <item x="806"/>
        <item x="68"/>
        <item x="664"/>
        <item x="693"/>
        <item x="332"/>
        <item x="724"/>
        <item x="800"/>
        <item x="1066"/>
        <item x="13"/>
        <item x="189"/>
        <item x="130"/>
        <item x="584"/>
        <item x="781"/>
        <item x="716"/>
        <item x="688"/>
        <item x="1095"/>
        <item x="1022"/>
        <item x="272"/>
        <item x="1034"/>
        <item x="182"/>
        <item x="217"/>
        <item x="658"/>
        <item x="887"/>
        <item x="937"/>
        <item x="1120"/>
        <item x="340"/>
        <item x="752"/>
        <item x="128"/>
        <item x="519"/>
        <item x="959"/>
        <item x="104"/>
        <item x="357"/>
        <item x="370"/>
        <item x="856"/>
        <item x="720"/>
        <item x="1014"/>
        <item x="129"/>
        <item x="1055"/>
        <item x="841"/>
        <item x="379"/>
        <item x="773"/>
        <item x="2"/>
        <item x="672"/>
        <item x="101"/>
        <item x="152"/>
        <item x="95"/>
        <item x="793"/>
        <item x="485"/>
        <item x="578"/>
        <item x="1013"/>
        <item x="1078"/>
        <item x="849"/>
        <item x="497"/>
        <item x="1011"/>
        <item x="167"/>
        <item x="509"/>
        <item x="375"/>
        <item x="613"/>
        <item x="598"/>
        <item x="695"/>
        <item x="1117"/>
        <item x="147"/>
        <item x="1046"/>
        <item x="1007"/>
        <item x="33"/>
        <item x="179"/>
        <item x="165"/>
        <item x="760"/>
        <item x="729"/>
        <item x="875"/>
        <item x="456"/>
        <item x="777"/>
        <item x="762"/>
        <item x="891"/>
        <item x="299"/>
        <item x="395"/>
        <item x="1107"/>
        <item x="450"/>
        <item x="631"/>
        <item x="1021"/>
        <item x="1141"/>
        <item x="186"/>
        <item x="811"/>
        <item x="367"/>
        <item x="48"/>
        <item x="150"/>
        <item x="946"/>
        <item x="339"/>
        <item x="61"/>
        <item x="783"/>
        <item x="1104"/>
        <item x="388"/>
        <item x="154"/>
        <item x="869"/>
        <item x="660"/>
        <item x="758"/>
        <item x="196"/>
        <item x="452"/>
        <item x="965"/>
        <item x="408"/>
        <item x="662"/>
        <item x="991"/>
        <item x="205"/>
        <item x="308"/>
        <item x="853"/>
        <item x="764"/>
        <item x="889"/>
        <item x="240"/>
        <item x="564"/>
        <item x="483"/>
        <item x="859"/>
        <item x="85"/>
        <item x="816"/>
        <item x="1082"/>
        <item x="437"/>
        <item x="736"/>
        <item x="224"/>
        <item x="874"/>
        <item x="238"/>
        <item x="916"/>
        <item x="1057"/>
        <item x="759"/>
        <item x="136"/>
        <item x="247"/>
        <item x="704"/>
        <item x="945"/>
        <item x="425"/>
        <item x="322"/>
        <item x="363"/>
        <item x="62"/>
        <item x="291"/>
        <item x="21"/>
        <item x="318"/>
        <item x="20"/>
        <item x="817"/>
        <item x="674"/>
        <item x="971"/>
        <item x="99"/>
        <item x="919"/>
        <item x="123"/>
        <item x="19"/>
        <item x="656"/>
        <item x="994"/>
        <item x="110"/>
        <item x="417"/>
        <item x="323"/>
        <item x="465"/>
        <item x="576"/>
        <item x="1125"/>
        <item x="995"/>
        <item x="414"/>
        <item x="607"/>
        <item x="195"/>
        <item x="653"/>
        <item x="880"/>
        <item x="1118"/>
        <item x="324"/>
        <item x="198"/>
        <item x="307"/>
        <item x="72"/>
        <item x="108"/>
        <item x="624"/>
        <item x="815"/>
        <item x="805"/>
        <item x="271"/>
        <item x="122"/>
        <item x="523"/>
        <item x="1003"/>
        <item x="981"/>
        <item x="1140"/>
        <item x="938"/>
        <item x="661"/>
        <item x="1030"/>
        <item x="30"/>
        <item x="972"/>
        <item x="289"/>
        <item x="996"/>
        <item x="1040"/>
        <item x="603"/>
        <item x="18"/>
        <item x="909"/>
        <item x="151"/>
        <item x="989"/>
        <item x="663"/>
        <item x="255"/>
        <item x="511"/>
        <item x="1056"/>
        <item x="699"/>
        <item x="115"/>
        <item x="721"/>
        <item x="537"/>
        <item x="642"/>
        <item x="710"/>
        <item x="221"/>
        <item x="997"/>
        <item x="107"/>
        <item x="359"/>
        <item x="1075"/>
        <item x="1084"/>
        <item x="799"/>
        <item x="407"/>
        <item x="824"/>
        <item x="346"/>
        <item x="933"/>
        <item x="490"/>
        <item x="1131"/>
        <item x="145"/>
        <item x="722"/>
        <item x="627"/>
        <item x="39"/>
        <item x="657"/>
        <item x="309"/>
        <item x="486"/>
        <item x="126"/>
        <item x="316"/>
        <item x="978"/>
        <item x="433"/>
        <item x="947"/>
        <item x="82"/>
        <item x="609"/>
        <item x="1092"/>
        <item x="943"/>
        <item x="573"/>
        <item x="451"/>
        <item x="621"/>
        <item x="449"/>
        <item x="1036"/>
        <item x="787"/>
        <item x="648"/>
        <item x="391"/>
        <item x="445"/>
        <item x="274"/>
        <item x="707"/>
        <item x="1042"/>
        <item x="514"/>
        <item x="132"/>
        <item x="775"/>
        <item x="1048"/>
        <item x="778"/>
        <item x="676"/>
        <item x="557"/>
        <item x="1073"/>
        <item x="666"/>
        <item x="871"/>
        <item x="528"/>
        <item x="282"/>
        <item x="71"/>
        <item x="763"/>
        <item x="1068"/>
        <item x="629"/>
        <item x="67"/>
        <item x="226"/>
        <item x="50"/>
        <item x="338"/>
        <item x="558"/>
        <item x="636"/>
        <item x="87"/>
        <item x="131"/>
        <item x="218"/>
        <item x="111"/>
        <item x="1116"/>
        <item x="826"/>
        <item x="784"/>
        <item x="464"/>
        <item x="512"/>
        <item x="694"/>
        <item x="304"/>
        <item x="403"/>
        <item x="173"/>
        <item x="228"/>
        <item x="1008"/>
        <item x="336"/>
        <item x="168"/>
        <item x="474"/>
        <item x="447"/>
        <item x="361"/>
        <item x="216"/>
        <item x="553"/>
        <item x="34"/>
        <item x="791"/>
        <item x="952"/>
        <item x="16"/>
        <item x="208"/>
        <item x="435"/>
        <item x="685"/>
        <item x="1127"/>
        <item x="858"/>
        <item x="944"/>
        <item x="256"/>
        <item x="948"/>
        <item x="296"/>
        <item x="91"/>
        <item x="1033"/>
        <item x="745"/>
        <item x="472"/>
        <item x="421"/>
        <item x="423"/>
        <item x="1064"/>
        <item x="969"/>
        <item x="498"/>
        <item x="1110"/>
        <item x="1105"/>
        <item x="148"/>
        <item x="532"/>
        <item x="220"/>
        <item x="1063"/>
        <item x="904"/>
        <item x="851"/>
        <item x="494"/>
        <item x="171"/>
        <item x="926"/>
        <item x="236"/>
        <item x="696"/>
        <item x="582"/>
        <item x="1009"/>
        <item x="529"/>
        <item x="940"/>
        <item x="813"/>
        <item x="15"/>
        <item x="416"/>
        <item x="315"/>
        <item x="106"/>
        <item x="343"/>
        <item x="177"/>
        <item x="1074"/>
        <item x="394"/>
        <item x="467"/>
        <item x="605"/>
        <item x="837"/>
        <item x="960"/>
        <item x="410"/>
        <item x="879"/>
        <item x="310"/>
        <item x="1079"/>
        <item x="516"/>
      </items>
    </pivotField>
    <pivotField axis="axisRow" compact="0" outline="0" showAll="0" defaultSubtotal="0">
      <items count="1144">
        <item x="682"/>
        <item x="63"/>
        <item x="373"/>
        <item x="858"/>
        <item x="342"/>
        <item x="790"/>
        <item x="491"/>
        <item x="399"/>
        <item x="638"/>
        <item x="948"/>
        <item x="899"/>
        <item x="1063"/>
        <item x="520"/>
        <item x="952"/>
        <item x="377"/>
        <item x="78"/>
        <item x="351"/>
        <item x="153"/>
        <item x="1008"/>
        <item x="374"/>
        <item x="103"/>
        <item x="64"/>
        <item x="194"/>
        <item x="158"/>
        <item x="774"/>
        <item x="79"/>
        <item x="787"/>
        <item x="794"/>
        <item x="991"/>
        <item x="1060"/>
        <item x="590"/>
        <item x="628"/>
        <item x="1126"/>
        <item x="788"/>
        <item x="980"/>
        <item x="560"/>
        <item x="1042"/>
        <item x="495"/>
        <item x="741"/>
        <item x="550"/>
        <item x="1095"/>
        <item x="573"/>
        <item x="295"/>
        <item x="740"/>
        <item x="84"/>
        <item x="796"/>
        <item x="577"/>
        <item x="406"/>
        <item x="35"/>
        <item x="537"/>
        <item x="879"/>
        <item x="733"/>
        <item x="22"/>
        <item x="268"/>
        <item x="819"/>
        <item x="139"/>
        <item x="1026"/>
        <item x="579"/>
        <item x="542"/>
        <item x="996"/>
        <item x="105"/>
        <item x="225"/>
        <item x="928"/>
        <item x="990"/>
        <item x="337"/>
        <item x="490"/>
        <item x="589"/>
        <item x="28"/>
        <item x="937"/>
        <item x="269"/>
        <item x="648"/>
        <item x="984"/>
        <item x="164"/>
        <item x="973"/>
        <item x="1134"/>
        <item x="1094"/>
        <item x="347"/>
        <item x="1140"/>
        <item x="65"/>
        <item x="1022"/>
        <item x="29"/>
        <item x="400"/>
        <item x="1003"/>
        <item x="881"/>
        <item x="215"/>
        <item x="848"/>
        <item x="810"/>
        <item x="286"/>
        <item x="548"/>
        <item x="726"/>
        <item x="1039"/>
        <item x="966"/>
        <item x="528"/>
        <item x="725"/>
        <item x="786"/>
        <item x="432"/>
        <item x="45"/>
        <item x="865"/>
        <item x="808"/>
        <item x="534"/>
        <item x="1015"/>
        <item x="297"/>
        <item x="696"/>
        <item x="1069"/>
        <item x="647"/>
        <item x="633"/>
        <item x="117"/>
        <item x="258"/>
        <item x="501"/>
        <item x="1087"/>
        <item x="1035"/>
        <item x="1013"/>
        <item x="244"/>
        <item x="817"/>
        <item x="0"/>
        <item x="749"/>
        <item x="3"/>
        <item x="511"/>
        <item x="280"/>
        <item x="657"/>
        <item x="960"/>
        <item x="56"/>
        <item x="525"/>
        <item x="11"/>
        <item x="261"/>
        <item x="266"/>
        <item x="745"/>
        <item x="83"/>
        <item x="203"/>
        <item x="531"/>
        <item x="1017"/>
        <item x="1068"/>
        <item x="710"/>
        <item x="265"/>
        <item x="330"/>
        <item x="1024"/>
        <item x="578"/>
        <item x="842"/>
        <item x="93"/>
        <item x="930"/>
        <item x="448"/>
        <item x="246"/>
        <item x="44"/>
        <item x="681"/>
        <item x="498"/>
        <item x="305"/>
        <item x="499"/>
        <item x="327"/>
        <item x="880"/>
        <item x="616"/>
        <item x="752"/>
        <item x="188"/>
        <item x="140"/>
        <item x="832"/>
        <item x="687"/>
        <item x="392"/>
        <item x="844"/>
        <item x="1052"/>
        <item x="292"/>
        <item x="245"/>
        <item x="1101"/>
        <item x="52"/>
        <item x="479"/>
        <item x="251"/>
        <item x="350"/>
        <item x="874"/>
        <item x="920"/>
        <item x="678"/>
        <item x="1131"/>
        <item x="546"/>
        <item x="671"/>
        <item x="600"/>
        <item x="863"/>
        <item x="766"/>
        <item x="986"/>
        <item x="345"/>
        <item x="335"/>
        <item x="513"/>
        <item x="436"/>
        <item x="892"/>
        <item x="911"/>
        <item x="615"/>
        <item x="441"/>
        <item x="1004"/>
        <item x="770"/>
        <item x="663"/>
        <item x="181"/>
        <item x="886"/>
        <item x="932"/>
        <item x="58"/>
        <item x="413"/>
        <item x="25"/>
        <item x="69"/>
        <item x="823"/>
        <item x="744"/>
        <item x="591"/>
        <item x="894"/>
        <item x="903"/>
        <item x="538"/>
        <item x="610"/>
        <item x="354"/>
        <item x="642"/>
        <item x="522"/>
        <item x="418"/>
        <item x="604"/>
        <item x="17"/>
        <item x="859"/>
        <item x="1119"/>
        <item x="641"/>
        <item x="341"/>
        <item x="748"/>
        <item x="1127"/>
        <item x="471"/>
        <item x="875"/>
        <item x="75"/>
        <item x="312"/>
        <item x="317"/>
        <item x="41"/>
        <item x="545"/>
        <item x="1078"/>
        <item x="701"/>
        <item x="344"/>
        <item x="554"/>
        <item x="193"/>
        <item x="947"/>
        <item x="767"/>
        <item x="298"/>
        <item x="55"/>
        <item x="138"/>
        <item x="1096"/>
        <item x="109"/>
        <item x="933"/>
        <item x="918"/>
        <item x="652"/>
        <item x="97"/>
        <item x="558"/>
        <item x="689"/>
        <item x="706"/>
        <item x="133"/>
        <item x="802"/>
        <item x="477"/>
        <item x="365"/>
        <item x="929"/>
        <item x="812"/>
        <item x="166"/>
        <item x="826"/>
        <item x="862"/>
        <item x="302"/>
        <item x="772"/>
        <item x="278"/>
        <item x="135"/>
        <item x="988"/>
        <item x="306"/>
        <item x="428"/>
        <item x="827"/>
        <item x="356"/>
        <item x="264"/>
        <item x="134"/>
        <item x="559"/>
        <item x="146"/>
        <item x="860"/>
        <item x="593"/>
        <item x="536"/>
        <item x="585"/>
        <item x="383"/>
        <item x="816"/>
        <item x="639"/>
        <item x="699"/>
        <item x="438"/>
        <item x="362"/>
        <item x="506"/>
        <item x="870"/>
        <item x="1110"/>
        <item x="279"/>
        <item x="283"/>
        <item x="504"/>
        <item x="1081"/>
        <item x="1045"/>
        <item x="971"/>
        <item x="690"/>
        <item x="478"/>
        <item x="199"/>
        <item x="855"/>
        <item x="368"/>
        <item x="1106"/>
        <item x="668"/>
        <item x="475"/>
        <item x="5"/>
        <item x="614"/>
        <item x="1059"/>
        <item x="211"/>
        <item x="470"/>
        <item x="759"/>
        <item x="120"/>
        <item x="114"/>
        <item x="40"/>
        <item x="328"/>
        <item x="1121"/>
        <item x="453"/>
        <item x="262"/>
        <item x="100"/>
        <item x="829"/>
        <item x="925"/>
        <item x="487"/>
        <item x="618"/>
        <item x="922"/>
        <item x="142"/>
        <item x="765"/>
        <item x="51"/>
        <item x="713"/>
        <item x="1085"/>
        <item x="898"/>
        <item x="572"/>
        <item x="547"/>
        <item x="680"/>
        <item x="463"/>
        <item x="1142"/>
        <item x="184"/>
        <item x="434"/>
        <item x="46"/>
        <item x="386"/>
        <item x="431"/>
        <item x="125"/>
        <item x="840"/>
        <item x="263"/>
        <item x="54"/>
        <item x="868"/>
        <item x="685"/>
        <item x="1057"/>
        <item x="326"/>
        <item x="415"/>
        <item x="778"/>
        <item x="836"/>
        <item x="473"/>
        <item x="769"/>
        <item x="529"/>
        <item x="481"/>
        <item x="257"/>
        <item x="1097"/>
        <item x="311"/>
        <item x="904"/>
        <item x="608"/>
        <item x="586"/>
        <item x="569"/>
        <item x="909"/>
        <item x="235"/>
        <item x="234"/>
        <item x="518"/>
        <item x="175"/>
        <item x="275"/>
        <item x="88"/>
        <item x="229"/>
        <item x="1074"/>
        <item x="1113"/>
        <item x="864"/>
        <item x="380"/>
        <item x="156"/>
        <item x="1109"/>
        <item x="102"/>
        <item x="516"/>
        <item x="653"/>
        <item x="673"/>
        <item x="366"/>
        <item x="888"/>
        <item x="287"/>
        <item x="352"/>
        <item x="684"/>
        <item x="137"/>
        <item x="597"/>
        <item x="949"/>
        <item x="273"/>
        <item x="197"/>
        <item x="890"/>
        <item x="900"/>
        <item x="27"/>
        <item x="397"/>
        <item x="276"/>
        <item x="956"/>
        <item x="553"/>
        <item x="369"/>
        <item x="494"/>
        <item x="333"/>
        <item x="1"/>
        <item x="10"/>
        <item x="252"/>
        <item x="1048"/>
        <item x="455"/>
        <item x="143"/>
        <item x="954"/>
        <item x="755"/>
        <item x="290"/>
        <item x="334"/>
        <item x="729"/>
        <item x="709"/>
        <item x="1056"/>
        <item x="285"/>
        <item x="180"/>
        <item x="978"/>
        <item x="42"/>
        <item x="112"/>
        <item x="468"/>
        <item x="439"/>
        <item x="906"/>
        <item x="393"/>
        <item x="1043"/>
        <item x="250"/>
        <item x="419"/>
        <item x="1141"/>
        <item x="1143"/>
        <item x="469"/>
        <item x="606"/>
        <item x="737"/>
        <item x="997"/>
        <item x="1083"/>
        <item x="1023"/>
        <item x="118"/>
        <item x="53"/>
        <item x="1014"/>
        <item x="807"/>
        <item x="515"/>
        <item x="219"/>
        <item x="650"/>
        <item x="649"/>
        <item x="270"/>
        <item x="1088"/>
        <item x="405"/>
        <item x="503"/>
        <item x="738"/>
        <item x="1050"/>
        <item x="561"/>
        <item x="677"/>
        <item x="422"/>
        <item x="617"/>
        <item x="446"/>
        <item x="427"/>
        <item x="643"/>
        <item x="385"/>
        <item x="59"/>
        <item x="985"/>
        <item x="901"/>
        <item x="488"/>
        <item x="845"/>
        <item x="861"/>
        <item x="645"/>
        <item x="207"/>
        <item x="831"/>
        <item x="43"/>
        <item x="1089"/>
        <item x="698"/>
        <item x="965"/>
        <item x="764"/>
        <item x="26"/>
        <item x="1065"/>
        <item x="784"/>
        <item x="486"/>
        <item x="876"/>
        <item x="319"/>
        <item x="974"/>
        <item x="409"/>
        <item x="1000"/>
        <item x="284"/>
        <item x="747"/>
        <item x="717"/>
        <item x="624"/>
        <item x="539"/>
        <item x="49"/>
        <item x="921"/>
        <item x="801"/>
        <item x="524"/>
        <item x="293"/>
        <item x="1027"/>
        <item x="736"/>
        <item x="688"/>
        <item x="951"/>
        <item x="37"/>
        <item x="1075"/>
        <item x="201"/>
        <item x="915"/>
        <item x="612"/>
        <item x="541"/>
        <item x="1079"/>
        <item x="703"/>
        <item x="602"/>
        <item x="204"/>
        <item x="239"/>
        <item x="398"/>
        <item x="753"/>
        <item x="98"/>
        <item x="926"/>
        <item x="704"/>
        <item x="70"/>
        <item x="818"/>
        <item x="792"/>
        <item x="972"/>
        <item x="1092"/>
        <item x="348"/>
        <item x="570"/>
        <item x="533"/>
        <item x="260"/>
        <item x="424"/>
        <item x="313"/>
        <item x="783"/>
        <item x="429"/>
        <item x="852"/>
        <item x="594"/>
        <item x="248"/>
        <item x="632"/>
        <item x="961"/>
        <item x="675"/>
        <item x="519"/>
        <item x="24"/>
        <item x="277"/>
        <item x="155"/>
        <item x="913"/>
        <item x="372"/>
        <item x="303"/>
        <item x="1067"/>
        <item x="390"/>
        <item x="89"/>
        <item x="637"/>
        <item x="850"/>
        <item x="583"/>
        <item x="754"/>
        <item x="665"/>
        <item x="557"/>
        <item x="38"/>
        <item x="461"/>
        <item x="95"/>
        <item x="838"/>
        <item x="846"/>
        <item x="592"/>
        <item x="242"/>
        <item x="746"/>
        <item x="919"/>
        <item x="939"/>
        <item x="905"/>
        <item x="588"/>
        <item x="934"/>
        <item x="430"/>
        <item x="412"/>
        <item x="584"/>
        <item x="396"/>
        <item x="1018"/>
        <item x="243"/>
        <item x="1133"/>
        <item x="360"/>
        <item x="505"/>
        <item x="187"/>
        <item x="1099"/>
        <item x="144"/>
        <item x="8"/>
        <item x="977"/>
        <item x="1036"/>
        <item x="780"/>
        <item x="599"/>
        <item x="587"/>
        <item x="227"/>
        <item x="378"/>
        <item x="458"/>
        <item x="793"/>
        <item x="730"/>
        <item x="575"/>
        <item x="884"/>
        <item x="806"/>
        <item x="707"/>
        <item x="723"/>
        <item x="457"/>
        <item x="1107"/>
        <item x="1128"/>
        <item x="982"/>
        <item x="443"/>
        <item x="1002"/>
        <item x="715"/>
        <item x="77"/>
        <item x="695"/>
        <item x="74"/>
        <item x="828"/>
        <item x="800"/>
        <item x="621"/>
        <item x="908"/>
        <item x="36"/>
        <item x="190"/>
        <item x="830"/>
        <item x="644"/>
        <item x="768"/>
        <item x="700"/>
        <item x="23"/>
        <item x="200"/>
        <item x="508"/>
        <item x="927"/>
        <item x="1135"/>
        <item x="1130"/>
        <item x="185"/>
        <item x="834"/>
        <item x="364"/>
        <item x="159"/>
        <item x="1037"/>
        <item x="565"/>
        <item x="981"/>
        <item x="568"/>
        <item x="893"/>
        <item x="381"/>
        <item x="404"/>
        <item x="1136"/>
        <item x="454"/>
        <item x="14"/>
        <item x="724"/>
        <item x="567"/>
        <item x="4"/>
        <item x="544"/>
        <item x="564"/>
        <item x="833"/>
        <item x="440"/>
        <item x="214"/>
        <item x="81"/>
        <item x="669"/>
        <item x="712"/>
        <item x="581"/>
        <item x="841"/>
        <item x="174"/>
        <item x="66"/>
        <item x="626"/>
        <item x="940"/>
        <item x="721"/>
        <item x="371"/>
        <item x="955"/>
        <item x="563"/>
        <item x="31"/>
        <item x="891"/>
        <item x="426"/>
        <item x="552"/>
        <item x="751"/>
        <item x="325"/>
        <item x="998"/>
        <item x="543"/>
        <item x="1025"/>
        <item x="183"/>
        <item x="1124"/>
        <item x="595"/>
        <item x="620"/>
        <item x="60"/>
        <item x="444"/>
        <item x="96"/>
        <item x="331"/>
        <item x="389"/>
        <item x="376"/>
        <item x="47"/>
        <item x="853"/>
        <item x="609"/>
        <item x="127"/>
        <item x="1111"/>
        <item x="897"/>
        <item x="825"/>
        <item x="959"/>
        <item x="805"/>
        <item x="384"/>
        <item x="401"/>
        <item x="667"/>
        <item x="916"/>
        <item x="358"/>
        <item x="1122"/>
        <item x="1084"/>
        <item x="1021"/>
        <item x="86"/>
        <item x="90"/>
        <item x="462"/>
        <item x="466"/>
        <item x="76"/>
        <item x="387"/>
        <item x="116"/>
        <item x="9"/>
        <item x="1137"/>
        <item x="161"/>
        <item x="119"/>
        <item x="795"/>
        <item x="983"/>
        <item x="598"/>
        <item x="213"/>
        <item x="968"/>
        <item x="160"/>
        <item x="1049"/>
        <item x="910"/>
        <item x="711"/>
        <item x="231"/>
        <item x="732"/>
        <item x="281"/>
        <item x="321"/>
        <item x="170"/>
        <item x="163"/>
        <item x="923"/>
        <item x="355"/>
        <item x="94"/>
        <item x="124"/>
        <item x="6"/>
        <item x="7"/>
        <item x="230"/>
        <item x="1117"/>
        <item x="1104"/>
        <item x="613"/>
        <item x="411"/>
        <item x="540"/>
        <item x="523"/>
        <item x="259"/>
        <item x="549"/>
        <item x="353"/>
        <item x="474"/>
        <item x="623"/>
        <item x="157"/>
        <item x="73"/>
        <item x="1041"/>
        <item x="210"/>
        <item x="459"/>
        <item x="883"/>
        <item x="113"/>
        <item x="249"/>
        <item x="420"/>
        <item x="162"/>
        <item x="320"/>
        <item x="237"/>
        <item x="80"/>
        <item x="716"/>
        <item x="178"/>
        <item x="222"/>
        <item x="172"/>
        <item x="349"/>
        <item x="1058"/>
        <item x="532"/>
        <item x="492"/>
        <item x="176"/>
        <item x="1100"/>
        <item x="12"/>
        <item x="202"/>
        <item x="402"/>
        <item x="679"/>
        <item x="1086"/>
        <item x="1120"/>
        <item x="294"/>
        <item x="314"/>
        <item x="631"/>
        <item x="837"/>
        <item x="912"/>
        <item x="871"/>
        <item x="953"/>
        <item x="882"/>
        <item x="1010"/>
        <item x="975"/>
        <item x="500"/>
        <item x="460"/>
        <item x="739"/>
        <item x="382"/>
        <item x="92"/>
        <item x="301"/>
        <item x="728"/>
        <item x="141"/>
        <item x="630"/>
        <item x="735"/>
        <item x="964"/>
        <item x="1029"/>
        <item x="1033"/>
        <item x="121"/>
        <item x="212"/>
        <item x="962"/>
        <item x="233"/>
        <item x="288"/>
        <item x="666"/>
        <item x="731"/>
        <item x="799"/>
        <item x="483"/>
        <item x="820"/>
        <item x="1016"/>
        <item x="442"/>
        <item x="636"/>
        <item x="192"/>
        <item x="232"/>
        <item x="1091"/>
        <item x="1051"/>
        <item x="32"/>
        <item x="895"/>
        <item x="502"/>
        <item x="742"/>
        <item x="223"/>
        <item x="149"/>
        <item x="1132"/>
        <item x="169"/>
        <item x="777"/>
        <item x="821"/>
        <item x="57"/>
        <item x="866"/>
        <item x="480"/>
        <item x="254"/>
        <item x="191"/>
        <item x="896"/>
        <item x="763"/>
        <item x="1030"/>
        <item x="999"/>
        <item x="300"/>
        <item x="206"/>
        <item x="329"/>
        <item x="676"/>
        <item x="1047"/>
        <item x="843"/>
        <item x="1112"/>
        <item x="241"/>
        <item x="476"/>
        <item x="267"/>
        <item x="566"/>
        <item x="253"/>
        <item x="209"/>
        <item x="1070"/>
        <item x="635"/>
        <item x="1098"/>
        <item x="804"/>
        <item x="68"/>
        <item x="662"/>
        <item x="691"/>
        <item x="332"/>
        <item x="722"/>
        <item x="798"/>
        <item x="1064"/>
        <item x="13"/>
        <item x="189"/>
        <item x="130"/>
        <item x="582"/>
        <item x="779"/>
        <item x="714"/>
        <item x="686"/>
        <item x="1093"/>
        <item x="1020"/>
        <item x="272"/>
        <item x="1032"/>
        <item x="182"/>
        <item x="217"/>
        <item x="656"/>
        <item x="885"/>
        <item x="935"/>
        <item x="1118"/>
        <item x="750"/>
        <item x="128"/>
        <item x="517"/>
        <item x="957"/>
        <item x="104"/>
        <item x="357"/>
        <item x="370"/>
        <item x="854"/>
        <item x="718"/>
        <item x="340"/>
        <item x="1012"/>
        <item x="129"/>
        <item x="1053"/>
        <item x="839"/>
        <item x="379"/>
        <item x="771"/>
        <item x="2"/>
        <item x="670"/>
        <item x="101"/>
        <item x="152"/>
        <item x="791"/>
        <item x="484"/>
        <item x="576"/>
        <item x="1011"/>
        <item x="1076"/>
        <item x="847"/>
        <item x="496"/>
        <item x="1009"/>
        <item x="167"/>
        <item x="507"/>
        <item x="375"/>
        <item x="611"/>
        <item x="596"/>
        <item x="693"/>
        <item x="147"/>
        <item x="1044"/>
        <item x="1115"/>
        <item x="1005"/>
        <item x="33"/>
        <item x="179"/>
        <item x="165"/>
        <item x="758"/>
        <item x="727"/>
        <item x="873"/>
        <item x="456"/>
        <item x="775"/>
        <item x="760"/>
        <item x="889"/>
        <item x="299"/>
        <item x="395"/>
        <item x="1105"/>
        <item x="629"/>
        <item x="450"/>
        <item x="1019"/>
        <item x="1139"/>
        <item x="186"/>
        <item x="809"/>
        <item x="367"/>
        <item x="48"/>
        <item x="150"/>
        <item x="944"/>
        <item x="339"/>
        <item x="61"/>
        <item x="781"/>
        <item x="1102"/>
        <item x="388"/>
        <item x="154"/>
        <item x="867"/>
        <item x="658"/>
        <item x="756"/>
        <item x="963"/>
        <item x="196"/>
        <item x="452"/>
        <item x="408"/>
        <item x="660"/>
        <item x="989"/>
        <item x="205"/>
        <item x="308"/>
        <item x="851"/>
        <item x="762"/>
        <item x="887"/>
        <item x="240"/>
        <item x="562"/>
        <item x="482"/>
        <item x="857"/>
        <item x="85"/>
        <item x="814"/>
        <item x="1080"/>
        <item x="437"/>
        <item x="734"/>
        <item x="224"/>
        <item x="872"/>
        <item x="238"/>
        <item x="914"/>
        <item x="1055"/>
        <item x="757"/>
        <item x="136"/>
        <item x="247"/>
        <item x="702"/>
        <item x="943"/>
        <item x="425"/>
        <item x="322"/>
        <item x="363"/>
        <item x="62"/>
        <item x="291"/>
        <item x="21"/>
        <item x="318"/>
        <item x="20"/>
        <item x="815"/>
        <item x="672"/>
        <item x="969"/>
        <item x="99"/>
        <item x="917"/>
        <item x="123"/>
        <item x="19"/>
        <item x="654"/>
        <item x="992"/>
        <item x="110"/>
        <item x="417"/>
        <item x="323"/>
        <item x="465"/>
        <item x="574"/>
        <item x="1123"/>
        <item x="993"/>
        <item x="414"/>
        <item x="605"/>
        <item x="195"/>
        <item x="651"/>
        <item x="878"/>
        <item x="1116"/>
        <item x="324"/>
        <item x="198"/>
        <item x="307"/>
        <item x="72"/>
        <item x="108"/>
        <item x="622"/>
        <item x="813"/>
        <item x="803"/>
        <item x="271"/>
        <item x="122"/>
        <item x="1001"/>
        <item x="521"/>
        <item x="979"/>
        <item x="1138"/>
        <item x="936"/>
        <item x="659"/>
        <item x="1028"/>
        <item x="30"/>
        <item x="970"/>
        <item x="289"/>
        <item x="994"/>
        <item x="1038"/>
        <item x="601"/>
        <item x="18"/>
        <item x="907"/>
        <item x="151"/>
        <item x="661"/>
        <item x="1054"/>
        <item x="987"/>
        <item x="255"/>
        <item x="509"/>
        <item x="697"/>
        <item x="115"/>
        <item x="719"/>
        <item x="535"/>
        <item x="640"/>
        <item x="708"/>
        <item x="221"/>
        <item x="995"/>
        <item x="107"/>
        <item x="359"/>
        <item x="1073"/>
        <item x="1082"/>
        <item x="797"/>
        <item x="407"/>
        <item x="822"/>
        <item x="346"/>
        <item x="931"/>
        <item x="489"/>
        <item x="1129"/>
        <item x="145"/>
        <item x="720"/>
        <item x="625"/>
        <item x="39"/>
        <item x="655"/>
        <item x="309"/>
        <item x="485"/>
        <item x="316"/>
        <item x="976"/>
        <item x="433"/>
        <item x="945"/>
        <item x="82"/>
        <item x="607"/>
        <item x="941"/>
        <item x="1090"/>
        <item x="571"/>
        <item x="451"/>
        <item x="619"/>
        <item x="449"/>
        <item x="1034"/>
        <item x="785"/>
        <item x="646"/>
        <item x="391"/>
        <item x="445"/>
        <item x="274"/>
        <item x="705"/>
        <item x="1040"/>
        <item x="512"/>
        <item x="132"/>
        <item x="773"/>
        <item x="1046"/>
        <item x="776"/>
        <item x="674"/>
        <item x="555"/>
        <item x="1071"/>
        <item x="664"/>
        <item x="869"/>
        <item x="526"/>
        <item x="282"/>
        <item x="71"/>
        <item x="761"/>
        <item x="1066"/>
        <item x="627"/>
        <item x="67"/>
        <item x="226"/>
        <item x="50"/>
        <item x="338"/>
        <item x="556"/>
        <item x="634"/>
        <item x="87"/>
        <item x="131"/>
        <item x="218"/>
        <item x="111"/>
        <item x="1114"/>
        <item x="824"/>
        <item x="510"/>
        <item x="782"/>
        <item x="464"/>
        <item x="692"/>
        <item x="304"/>
        <item x="403"/>
        <item x="173"/>
        <item x="228"/>
        <item x="1006"/>
        <item x="336"/>
        <item x="168"/>
        <item x="447"/>
        <item x="361"/>
        <item x="950"/>
        <item x="216"/>
        <item x="551"/>
        <item x="34"/>
        <item x="789"/>
        <item x="16"/>
        <item x="208"/>
        <item x="435"/>
        <item x="683"/>
        <item x="1125"/>
        <item x="126"/>
        <item x="856"/>
        <item x="942"/>
        <item x="256"/>
        <item x="946"/>
        <item x="296"/>
        <item x="91"/>
        <item x="1031"/>
        <item x="743"/>
        <item x="472"/>
        <item x="421"/>
        <item x="423"/>
        <item x="1062"/>
        <item x="967"/>
        <item x="497"/>
        <item x="1108"/>
        <item x="1103"/>
        <item x="148"/>
        <item x="530"/>
        <item x="220"/>
        <item x="1061"/>
        <item x="902"/>
        <item x="849"/>
        <item x="493"/>
        <item x="171"/>
        <item x="924"/>
        <item x="236"/>
        <item x="694"/>
        <item x="580"/>
        <item x="1007"/>
        <item x="527"/>
        <item x="938"/>
        <item x="811"/>
        <item x="15"/>
        <item x="416"/>
        <item x="315"/>
        <item x="106"/>
        <item x="343"/>
        <item x="177"/>
        <item x="1072"/>
        <item x="394"/>
        <item x="467"/>
        <item x="603"/>
        <item x="835"/>
        <item x="958"/>
        <item x="410"/>
        <item x="877"/>
        <item x="310"/>
        <item x="1077"/>
        <item x="51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1082">
        <item x="576"/>
        <item x="413"/>
        <item x="262"/>
        <item x="157"/>
        <item x="563"/>
        <item x="223"/>
        <item x="88"/>
        <item x="161"/>
        <item x="517"/>
        <item x="912"/>
        <item x="369"/>
        <item x="322"/>
        <item x="21"/>
        <item x="300"/>
        <item x="292"/>
        <item x="136"/>
        <item x="186"/>
        <item x="405"/>
        <item x="212"/>
        <item x="945"/>
        <item x="123"/>
        <item x="28"/>
        <item x="241"/>
        <item x="432"/>
        <item x="301"/>
        <item x="946"/>
        <item x="419"/>
        <item x="336"/>
        <item x="474"/>
        <item x="870"/>
        <item x="18"/>
        <item x="257"/>
        <item x="994"/>
        <item x="682"/>
        <item x="913"/>
        <item x="268"/>
        <item x="295"/>
        <item x="139"/>
        <item x="34"/>
        <item x="246"/>
        <item x="317"/>
        <item x="580"/>
        <item x="627"/>
        <item x="801"/>
        <item x="661"/>
        <item x="826"/>
        <item x="845"/>
        <item x="742"/>
        <item x="465"/>
        <item x="308"/>
        <item x="995"/>
        <item x="864"/>
        <item x="425"/>
        <item x="914"/>
        <item x="409"/>
        <item x="879"/>
        <item x="637"/>
        <item x="880"/>
        <item x="915"/>
        <item x="430"/>
        <item x="537"/>
        <item x="137"/>
        <item x="554"/>
        <item x="520"/>
        <item x="741"/>
        <item x="842"/>
        <item x="444"/>
        <item x="94"/>
        <item x="634"/>
        <item x="729"/>
        <item x="686"/>
        <item x="239"/>
        <item x="135"/>
        <item x="565"/>
        <item x="162"/>
        <item x="320"/>
        <item x="506"/>
        <item x="159"/>
        <item x="206"/>
        <item x="146"/>
        <item x="828"/>
        <item x="382"/>
        <item x="372"/>
        <item x="665"/>
        <item x="705"/>
        <item x="775"/>
        <item x="1040"/>
        <item x="700"/>
        <item x="594"/>
        <item x="128"/>
        <item x="553"/>
        <item x="709"/>
        <item x="881"/>
        <item x="265"/>
        <item x="996"/>
        <item x="578"/>
        <item x="176"/>
        <item x="17"/>
        <item x="209"/>
        <item x="273"/>
        <item x="283"/>
        <item x="421"/>
        <item x="218"/>
        <item x="361"/>
        <item x="274"/>
        <item x="821"/>
        <item x="660"/>
        <item x="947"/>
        <item x="536"/>
        <item x="348"/>
        <item x="509"/>
        <item x="948"/>
        <item x="179"/>
        <item x="997"/>
        <item x="606"/>
        <item x="882"/>
        <item x="379"/>
        <item x="36"/>
        <item x="14"/>
        <item x="533"/>
        <item x="862"/>
        <item x="556"/>
        <item x="255"/>
        <item x="131"/>
        <item x="198"/>
        <item x="316"/>
        <item x="482"/>
        <item x="525"/>
        <item x="172"/>
        <item x="547"/>
        <item x="227"/>
        <item x="883"/>
        <item x="488"/>
        <item x="232"/>
        <item x="794"/>
        <item x="771"/>
        <item x="263"/>
        <item x="998"/>
        <item x="999"/>
        <item x="138"/>
        <item x="377"/>
        <item x="502"/>
        <item x="600"/>
        <item x="642"/>
        <item x="720"/>
        <item x="846"/>
        <item x="737"/>
        <item x="1041"/>
        <item x="127"/>
        <item x="949"/>
        <item x="559"/>
        <item x="333"/>
        <item x="242"/>
        <item x="950"/>
        <item x="818"/>
        <item x="1000"/>
        <item x="445"/>
        <item x="916"/>
        <item x="549"/>
        <item x="446"/>
        <item x="543"/>
        <item x="396"/>
        <item x="473"/>
        <item x="407"/>
        <item x="778"/>
        <item x="238"/>
        <item x="309"/>
        <item x="45"/>
        <item x="152"/>
        <item x="598"/>
        <item x="338"/>
        <item x="538"/>
        <item x="231"/>
        <item x="383"/>
        <item x="16"/>
        <item x="917"/>
        <item x="306"/>
        <item x="469"/>
        <item x="884"/>
        <item x="252"/>
        <item x="951"/>
        <item x="410"/>
        <item x="774"/>
        <item x="648"/>
        <item x="528"/>
        <item x="27"/>
        <item x="573"/>
        <item x="952"/>
        <item x="1001"/>
        <item x="129"/>
        <item x="451"/>
        <item x="183"/>
        <item x="885"/>
        <item x="530"/>
        <item x="298"/>
        <item x="516"/>
        <item x="385"/>
        <item x="688"/>
        <item x="431"/>
        <item x="534"/>
        <item x="4"/>
        <item x="719"/>
        <item x="1002"/>
        <item x="663"/>
        <item x="215"/>
        <item x="216"/>
        <item x="467"/>
        <item x="1003"/>
        <item x="149"/>
        <item x="521"/>
        <item x="475"/>
        <item x="542"/>
        <item x="153"/>
        <item x="367"/>
        <item x="422"/>
        <item x="550"/>
        <item x="226"/>
        <item x="456"/>
        <item x="429"/>
        <item x="829"/>
        <item x="1004"/>
        <item x="699"/>
        <item x="767"/>
        <item x="789"/>
        <item x="1042"/>
        <item x="629"/>
        <item x="754"/>
        <item x="662"/>
        <item x="684"/>
        <item x="1043"/>
        <item x="564"/>
        <item x="953"/>
        <item x="368"/>
        <item x="514"/>
        <item x="358"/>
        <item x="423"/>
        <item x="886"/>
        <item x="587"/>
        <item x="513"/>
        <item x="105"/>
        <item x="225"/>
        <item x="398"/>
        <item x="202"/>
        <item x="873"/>
        <item x="918"/>
        <item x="484"/>
        <item x="526"/>
        <item x="156"/>
        <item x="71"/>
        <item x="887"/>
        <item x="568"/>
        <item x="486"/>
        <item x="420"/>
        <item x="251"/>
        <item x="394"/>
        <item x="492"/>
        <item x="569"/>
        <item x="489"/>
        <item x="256"/>
        <item x="919"/>
        <item x="204"/>
        <item x="619"/>
        <item x="745"/>
        <item x="724"/>
        <item x="280"/>
        <item x="220"/>
        <item x="455"/>
        <item x="200"/>
        <item x="195"/>
        <item x="954"/>
        <item x="888"/>
        <item x="164"/>
        <item x="512"/>
        <item x="1005"/>
        <item x="621"/>
        <item x="169"/>
        <item x="1006"/>
        <item x="229"/>
        <item x="539"/>
        <item x="221"/>
        <item x="393"/>
        <item x="339"/>
        <item x="101"/>
        <item x="955"/>
        <item x="1007"/>
        <item x="106"/>
        <item x="121"/>
        <item x="441"/>
        <item x="125"/>
        <item x="523"/>
        <item x="499"/>
        <item x="1008"/>
        <item x="717"/>
        <item x="437"/>
        <item x="193"/>
        <item x="140"/>
        <item x="40"/>
        <item x="857"/>
        <item x="769"/>
        <item x="743"/>
        <item x="1044"/>
        <item x="691"/>
        <item x="757"/>
        <item x="736"/>
        <item x="1045"/>
        <item x="647"/>
        <item x="1046"/>
        <item x="249"/>
        <item x="124"/>
        <item x="6"/>
        <item x="786"/>
        <item x="668"/>
        <item x="504"/>
        <item x="545"/>
        <item x="7"/>
        <item x="956"/>
        <item x="84"/>
        <item x="426"/>
        <item x="260"/>
        <item x="329"/>
        <item x="248"/>
        <item x="443"/>
        <item x="272"/>
        <item x="674"/>
        <item x="250"/>
        <item x="275"/>
        <item x="1009"/>
        <item x="324"/>
        <item x="122"/>
        <item x="72"/>
        <item x="91"/>
        <item x="920"/>
        <item x="182"/>
        <item x="957"/>
        <item x="889"/>
        <item x="73"/>
        <item x="808"/>
        <item x="630"/>
        <item x="739"/>
        <item x="852"/>
        <item x="44"/>
        <item x="270"/>
        <item x="258"/>
        <item x="479"/>
        <item x="812"/>
        <item x="597"/>
        <item x="303"/>
        <item x="68"/>
        <item x="118"/>
        <item x="800"/>
        <item x="544"/>
        <item x="867"/>
        <item x="141"/>
        <item x="921"/>
        <item x="696"/>
        <item x="890"/>
        <item x="761"/>
        <item x="704"/>
        <item x="315"/>
        <item x="39"/>
        <item x="61"/>
        <item x="318"/>
        <item x="695"/>
        <item x="332"/>
        <item x="792"/>
        <item x="56"/>
        <item x="400"/>
        <item x="416"/>
        <item x="115"/>
        <item x="245"/>
        <item x="874"/>
        <item x="683"/>
        <item x="327"/>
        <item x="325"/>
        <item x="313"/>
        <item x="577"/>
        <item x="859"/>
        <item x="175"/>
        <item x="777"/>
        <item x="673"/>
        <item x="652"/>
        <item x="583"/>
        <item x="816"/>
        <item x="1010"/>
        <item x="282"/>
        <item x="531"/>
        <item x="617"/>
        <item x="190"/>
        <item x="483"/>
        <item x="50"/>
        <item x="532"/>
        <item x="366"/>
        <item x="99"/>
        <item x="641"/>
        <item x="1011"/>
        <item x="1012"/>
        <item x="529"/>
        <item x="669"/>
        <item x="671"/>
        <item x="922"/>
        <item x="732"/>
        <item x="1"/>
        <item x="110"/>
        <item x="402"/>
        <item x="591"/>
        <item x="1013"/>
        <item x="593"/>
        <item x="809"/>
        <item x="813"/>
        <item x="768"/>
        <item x="1047"/>
        <item x="715"/>
        <item x="843"/>
        <item x="1048"/>
        <item x="712"/>
        <item x="1049"/>
        <item x="1050"/>
        <item x="923"/>
        <item x="290"/>
        <item x="623"/>
        <item x="271"/>
        <item x="675"/>
        <item x="747"/>
        <item x="958"/>
        <item x="102"/>
        <item x="165"/>
        <item x="810"/>
        <item x="76"/>
        <item x="364"/>
        <item x="107"/>
        <item x="447"/>
        <item x="276"/>
        <item x="19"/>
        <item x="959"/>
        <item x="78"/>
        <item x="624"/>
        <item x="589"/>
        <item x="269"/>
        <item x="519"/>
        <item x="612"/>
        <item x="1014"/>
        <item x="803"/>
        <item x="1015"/>
        <item x="1016"/>
        <item x="392"/>
        <item x="279"/>
        <item x="764"/>
        <item x="23"/>
        <item x="64"/>
        <item x="924"/>
        <item x="524"/>
        <item x="588"/>
        <item x="388"/>
        <item x="891"/>
        <item x="342"/>
        <item x="875"/>
        <item x="49"/>
        <item x="892"/>
        <item x="170"/>
        <item x="601"/>
        <item x="380"/>
        <item x="185"/>
        <item x="310"/>
        <item x="345"/>
        <item x="87"/>
        <item x="893"/>
        <item x="496"/>
        <item x="960"/>
        <item x="171"/>
        <item x="321"/>
        <item x="237"/>
        <item x="710"/>
        <item x="605"/>
        <item x="765"/>
        <item x="552"/>
        <item x="353"/>
        <item x="203"/>
        <item x="259"/>
        <item x="721"/>
        <item x="166"/>
        <item x="286"/>
        <item x="168"/>
        <item x="381"/>
        <item x="678"/>
        <item x="1017"/>
        <item x="735"/>
        <item x="438"/>
        <item x="707"/>
        <item x="481"/>
        <item x="689"/>
        <item x="575"/>
        <item x="188"/>
        <item x="472"/>
        <item x="659"/>
        <item x="861"/>
        <item x="51"/>
        <item x="116"/>
        <item x="57"/>
        <item x="961"/>
        <item x="833"/>
        <item x="596"/>
        <item x="894"/>
        <item x="672"/>
        <item x="133"/>
        <item x="497"/>
        <item x="95"/>
        <item x="895"/>
        <item x="625"/>
        <item x="1018"/>
        <item x="354"/>
        <item x="962"/>
        <item x="15"/>
        <item x="963"/>
        <item x="548"/>
        <item x="414"/>
        <item x="80"/>
        <item x="117"/>
        <item x="363"/>
        <item x="964"/>
        <item x="1019"/>
        <item x="840"/>
        <item x="760"/>
        <item x="1051"/>
        <item x="1052"/>
        <item x="824"/>
        <item x="1053"/>
        <item x="1054"/>
        <item x="1055"/>
        <item x="838"/>
        <item x="1056"/>
        <item x="706"/>
        <item x="762"/>
        <item x="584"/>
        <item x="184"/>
        <item x="126"/>
        <item x="702"/>
        <item x="222"/>
        <item x="965"/>
        <item x="294"/>
        <item x="722"/>
        <item x="264"/>
        <item x="434"/>
        <item x="595"/>
        <item x="1020"/>
        <item x="868"/>
        <item x="5"/>
        <item x="468"/>
        <item x="693"/>
        <item x="459"/>
        <item x="494"/>
        <item x="356"/>
        <item x="628"/>
        <item x="966"/>
        <item x="412"/>
        <item x="925"/>
        <item x="592"/>
        <item x="804"/>
        <item x="114"/>
        <item x="328"/>
        <item x="288"/>
        <item x="96"/>
        <item x="433"/>
        <item x="143"/>
        <item x="788"/>
        <item x="825"/>
        <item x="1021"/>
        <item x="896"/>
        <item x="876"/>
        <item x="967"/>
        <item x="633"/>
        <item x="897"/>
        <item x="130"/>
        <item x="29"/>
        <item x="192"/>
        <item x="20"/>
        <item x="926"/>
        <item x="968"/>
        <item x="93"/>
        <item x="287"/>
        <item x="491"/>
        <item x="70"/>
        <item x="711"/>
        <item x="602"/>
        <item x="289"/>
        <item x="346"/>
        <item x="784"/>
        <item x="1022"/>
        <item x="640"/>
        <item x="109"/>
        <item x="119"/>
        <item x="898"/>
        <item x="113"/>
        <item x="785"/>
        <item x="390"/>
        <item x="112"/>
        <item x="240"/>
        <item x="899"/>
        <item x="219"/>
        <item x="415"/>
        <item x="33"/>
        <item x="900"/>
        <item x="267"/>
        <item x="650"/>
        <item x="144"/>
        <item x="753"/>
        <item x="730"/>
        <item x="1023"/>
        <item x="1024"/>
        <item x="1025"/>
        <item x="655"/>
        <item x="901"/>
        <item x="902"/>
        <item x="79"/>
        <item x="969"/>
        <item x="970"/>
        <item x="971"/>
        <item x="436"/>
        <item x="903"/>
        <item x="646"/>
        <item x="863"/>
        <item x="823"/>
        <item x="811"/>
        <item x="67"/>
        <item x="562"/>
        <item x="972"/>
        <item x="174"/>
        <item x="261"/>
        <item x="278"/>
        <item x="417"/>
        <item x="196"/>
        <item x="10"/>
        <item x="244"/>
        <item x="766"/>
        <item x="464"/>
        <item x="384"/>
        <item x="1026"/>
        <item x="631"/>
        <item x="13"/>
        <item x="389"/>
        <item x="927"/>
        <item x="820"/>
        <item x="738"/>
        <item x="9"/>
        <item x="285"/>
        <item x="86"/>
        <item x="973"/>
        <item x="928"/>
        <item x="974"/>
        <item x="371"/>
        <item x="167"/>
        <item x="103"/>
        <item x="120"/>
        <item x="860"/>
        <item x="703"/>
        <item x="355"/>
        <item x="975"/>
        <item x="38"/>
        <item x="234"/>
        <item x="681"/>
        <item x="904"/>
        <item x="698"/>
        <item x="579"/>
        <item x="1027"/>
        <item x="856"/>
        <item x="501"/>
        <item x="337"/>
        <item x="929"/>
        <item x="427"/>
        <item x="386"/>
        <item x="527"/>
        <item x="97"/>
        <item x="714"/>
        <item x="687"/>
        <item x="92"/>
        <item x="236"/>
        <item x="1028"/>
        <item x="731"/>
        <item x="807"/>
        <item x="905"/>
        <item x="906"/>
        <item x="66"/>
        <item x="291"/>
        <item x="403"/>
        <item x="24"/>
        <item x="406"/>
        <item x="178"/>
        <item x="748"/>
        <item x="58"/>
        <item x="214"/>
        <item x="334"/>
        <item x="507"/>
        <item x="500"/>
        <item x="692"/>
        <item x="181"/>
        <item x="302"/>
        <item x="632"/>
        <item x="907"/>
        <item x="651"/>
        <item x="1029"/>
        <item x="1030"/>
        <item x="834"/>
        <item x="664"/>
        <item x="586"/>
        <item x="42"/>
        <item x="189"/>
        <item x="100"/>
        <item x="930"/>
        <item x="374"/>
        <item x="976"/>
        <item x="319"/>
        <item x="608"/>
        <item x="314"/>
        <item x="85"/>
        <item x="247"/>
        <item x="837"/>
        <item x="207"/>
        <item x="82"/>
        <item x="508"/>
        <item x="134"/>
        <item x="160"/>
        <item x="357"/>
        <item x="677"/>
        <item x="855"/>
        <item x="626"/>
        <item x="849"/>
        <item x="713"/>
        <item x="1057"/>
        <item x="865"/>
        <item x="759"/>
        <item x="1058"/>
        <item x="1059"/>
        <item x="1060"/>
        <item x="1061"/>
        <item x="781"/>
        <item x="728"/>
        <item x="787"/>
        <item x="793"/>
        <item x="1062"/>
        <item x="718"/>
        <item x="839"/>
        <item x="638"/>
        <item x="395"/>
        <item x="277"/>
        <item x="108"/>
        <item x="485"/>
        <item x="233"/>
        <item x="458"/>
        <item x="750"/>
        <item x="424"/>
        <item x="397"/>
        <item x="708"/>
        <item x="418"/>
        <item x="378"/>
        <item x="453"/>
        <item x="428"/>
        <item x="610"/>
        <item x="518"/>
        <item x="505"/>
        <item x="442"/>
        <item x="281"/>
        <item x="822"/>
        <item x="847"/>
        <item x="827"/>
        <item x="680"/>
        <item x="851"/>
        <item x="81"/>
        <item x="147"/>
        <item x="47"/>
        <item x="806"/>
        <item x="299"/>
        <item x="448"/>
        <item x="399"/>
        <item x="224"/>
        <item x="391"/>
        <item x="154"/>
        <item x="343"/>
        <item x="636"/>
        <item x="235"/>
        <item x="304"/>
        <item x="75"/>
        <item x="370"/>
        <item x="312"/>
        <item x="799"/>
        <item x="305"/>
        <item x="1031"/>
        <item x="830"/>
        <item x="1032"/>
        <item x="284"/>
        <item x="616"/>
        <item x="618"/>
        <item x="511"/>
        <item x="155"/>
        <item x="877"/>
        <item x="213"/>
        <item x="194"/>
        <item x="335"/>
        <item x="756"/>
        <item x="931"/>
        <item x="977"/>
        <item x="667"/>
        <item x="470"/>
        <item x="978"/>
        <item x="311"/>
        <item x="104"/>
        <item x="979"/>
        <item x="1033"/>
        <item x="780"/>
        <item x="932"/>
        <item x="566"/>
        <item x="980"/>
        <item x="582"/>
        <item x="266"/>
        <item x="83"/>
        <item x="540"/>
        <item x="701"/>
        <item x="522"/>
        <item x="145"/>
        <item x="694"/>
        <item x="981"/>
        <item x="933"/>
        <item x="158"/>
        <item x="208"/>
        <item x="74"/>
        <item x="30"/>
        <item x="211"/>
        <item x="2"/>
        <item x="758"/>
        <item x="832"/>
        <item x="726"/>
        <item x="1034"/>
        <item x="560"/>
        <item x="649"/>
        <item x="373"/>
        <item x="908"/>
        <item x="37"/>
        <item x="934"/>
        <item x="909"/>
        <item x="411"/>
        <item x="35"/>
        <item x="581"/>
        <item x="935"/>
        <item x="63"/>
        <item x="180"/>
        <item x="466"/>
        <item x="555"/>
        <item x="199"/>
        <item x="352"/>
        <item x="679"/>
        <item x="362"/>
        <item x="142"/>
        <item x="910"/>
        <item x="723"/>
        <item x="622"/>
        <item x="1035"/>
        <item x="666"/>
        <item x="815"/>
        <item x="1036"/>
        <item x="854"/>
        <item x="853"/>
        <item x="653"/>
        <item x="797"/>
        <item x="54"/>
        <item x="3"/>
        <item x="510"/>
        <item x="620"/>
        <item x="727"/>
        <item x="177"/>
        <item x="344"/>
        <item x="697"/>
        <item x="936"/>
        <item x="350"/>
        <item x="65"/>
        <item x="460"/>
        <item x="330"/>
        <item x="43"/>
        <item x="734"/>
        <item x="293"/>
        <item x="31"/>
        <item x="567"/>
        <item x="25"/>
        <item x="535"/>
        <item x="871"/>
        <item x="645"/>
        <item x="639"/>
        <item x="572"/>
        <item x="111"/>
        <item x="937"/>
        <item x="546"/>
        <item x="585"/>
        <item x="982"/>
        <item x="983"/>
        <item x="796"/>
        <item x="835"/>
        <item x="1037"/>
        <item x="725"/>
        <item x="733"/>
        <item x="201"/>
        <item x="515"/>
        <item x="12"/>
        <item x="449"/>
        <item x="658"/>
        <item x="911"/>
        <item x="440"/>
        <item x="984"/>
        <item x="8"/>
        <item x="22"/>
        <item x="755"/>
        <item x="938"/>
        <item x="331"/>
        <item x="359"/>
        <item x="349"/>
        <item x="347"/>
        <item x="32"/>
        <item x="462"/>
        <item x="197"/>
        <item x="452"/>
        <item x="191"/>
        <item x="795"/>
        <item x="90"/>
        <item x="450"/>
        <item x="55"/>
        <item x="376"/>
        <item x="716"/>
        <item x="1038"/>
        <item x="791"/>
        <item x="685"/>
        <item x="351"/>
        <item x="187"/>
        <item x="205"/>
        <item x="46"/>
        <item x="773"/>
        <item x="676"/>
        <item x="41"/>
        <item x="487"/>
        <item x="62"/>
        <item x="217"/>
        <item x="243"/>
        <item x="495"/>
        <item x="326"/>
        <item x="939"/>
        <item x="228"/>
        <item x="435"/>
        <item x="656"/>
        <item x="53"/>
        <item x="365"/>
        <item x="48"/>
        <item x="841"/>
        <item x="387"/>
        <item x="940"/>
        <item x="150"/>
        <item x="985"/>
        <item x="132"/>
        <item x="454"/>
        <item x="941"/>
        <item x="570"/>
        <item x="986"/>
        <item x="670"/>
        <item x="1039"/>
        <item x="751"/>
        <item x="163"/>
        <item x="987"/>
        <item x="254"/>
        <item x="253"/>
        <item x="490"/>
        <item x="60"/>
        <item x="210"/>
        <item x="942"/>
        <item x="988"/>
        <item x="478"/>
        <item x="26"/>
        <item x="360"/>
        <item x="477"/>
        <item x="644"/>
        <item x="151"/>
        <item x="69"/>
        <item x="297"/>
        <item x="148"/>
        <item x="173"/>
        <item x="614"/>
        <item x="814"/>
        <item x="341"/>
        <item x="408"/>
        <item x="611"/>
        <item x="551"/>
        <item x="59"/>
        <item x="439"/>
        <item x="230"/>
        <item x="541"/>
        <item x="943"/>
        <item x="89"/>
        <item x="878"/>
        <item x="558"/>
        <item x="989"/>
        <item x="471"/>
        <item x="944"/>
        <item x="744"/>
        <item x="850"/>
        <item x="779"/>
        <item x="990"/>
        <item x="635"/>
        <item x="798"/>
        <item x="493"/>
        <item x="571"/>
        <item x="561"/>
        <item x="476"/>
        <item x="574"/>
        <item x="11"/>
        <item x="401"/>
        <item x="340"/>
        <item x="819"/>
        <item x="752"/>
        <item x="498"/>
        <item x="0"/>
        <item x="296"/>
        <item x="503"/>
        <item x="557"/>
        <item x="404"/>
        <item x="480"/>
        <item x="991"/>
        <item x="992"/>
        <item x="323"/>
        <item x="375"/>
        <item x="307"/>
        <item x="654"/>
        <item x="463"/>
        <item x="98"/>
        <item x="52"/>
        <item x="993"/>
        <item x="740"/>
        <item x="872"/>
        <item x="457"/>
        <item x="609"/>
        <item x="590"/>
        <item x="461"/>
        <item x="77"/>
        <item x="604"/>
        <item x="858"/>
        <item x="783"/>
        <item x="1063"/>
        <item x="844"/>
        <item x="1064"/>
        <item x="1065"/>
        <item x="763"/>
        <item x="1066"/>
        <item x="782"/>
        <item x="1067"/>
        <item x="805"/>
        <item x="1068"/>
        <item x="1069"/>
        <item x="1070"/>
        <item x="607"/>
        <item x="790"/>
        <item x="1071"/>
        <item x="746"/>
        <item x="690"/>
        <item x="1072"/>
        <item x="613"/>
        <item x="866"/>
        <item x="817"/>
        <item x="749"/>
        <item x="1073"/>
        <item x="657"/>
        <item x="1074"/>
        <item x="1075"/>
        <item x="772"/>
        <item x="1076"/>
        <item x="603"/>
        <item x="1077"/>
        <item x="599"/>
        <item x="643"/>
        <item x="1078"/>
        <item x="1079"/>
        <item x="1080"/>
        <item x="1081"/>
        <item x="831"/>
        <item x="770"/>
        <item x="615"/>
        <item x="802"/>
        <item x="836"/>
        <item x="848"/>
        <item x="776"/>
        <item x="869"/>
      </items>
    </pivotField>
    <pivotField axis="axisRow" dataField="1" compact="0" outline="0" showAll="0" measureFilter="1" defaultSubtotal="0">
      <items count="906">
        <item x="904"/>
        <item x="903"/>
        <item x="902"/>
        <item x="901"/>
        <item x="900"/>
        <item x="899"/>
        <item x="575"/>
        <item x="898"/>
        <item x="574"/>
        <item x="573"/>
        <item x="572"/>
        <item x="571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570"/>
        <item x="885"/>
        <item x="884"/>
        <item x="883"/>
        <item x="882"/>
        <item x="881"/>
        <item x="880"/>
        <item x="879"/>
        <item x="878"/>
        <item x="877"/>
        <item x="876"/>
        <item x="569"/>
        <item x="875"/>
        <item x="874"/>
        <item x="873"/>
        <item x="872"/>
        <item x="871"/>
        <item x="870"/>
        <item x="568"/>
        <item x="869"/>
        <item x="868"/>
        <item x="867"/>
        <item x="866"/>
        <item x="865"/>
        <item x="567"/>
        <item x="864"/>
        <item x="863"/>
        <item x="862"/>
        <item x="566"/>
        <item x="861"/>
        <item x="860"/>
        <item x="859"/>
        <item x="858"/>
        <item x="857"/>
        <item x="856"/>
        <item x="855"/>
        <item x="565"/>
        <item x="854"/>
        <item x="853"/>
        <item x="852"/>
        <item x="851"/>
        <item x="850"/>
        <item x="849"/>
        <item x="848"/>
        <item x="847"/>
        <item x="564"/>
        <item x="846"/>
        <item x="845"/>
        <item x="844"/>
        <item x="843"/>
        <item x="842"/>
        <item x="563"/>
        <item x="841"/>
        <item x="840"/>
        <item x="839"/>
        <item x="838"/>
        <item x="837"/>
        <item x="562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561"/>
        <item x="821"/>
        <item x="820"/>
        <item x="819"/>
        <item x="818"/>
        <item x="817"/>
        <item x="816"/>
        <item x="815"/>
        <item x="560"/>
        <item x="814"/>
        <item x="813"/>
        <item x="812"/>
        <item x="811"/>
        <item x="810"/>
        <item x="559"/>
        <item x="558"/>
        <item x="809"/>
        <item x="808"/>
        <item x="807"/>
        <item x="806"/>
        <item x="805"/>
        <item x="557"/>
        <item x="804"/>
        <item x="803"/>
        <item x="556"/>
        <item x="802"/>
        <item x="555"/>
        <item x="801"/>
        <item x="800"/>
        <item x="799"/>
        <item x="554"/>
        <item x="798"/>
        <item x="797"/>
        <item x="796"/>
        <item x="553"/>
        <item x="552"/>
        <item x="795"/>
        <item x="551"/>
        <item x="794"/>
        <item x="550"/>
        <item x="549"/>
        <item x="793"/>
        <item x="792"/>
        <item x="791"/>
        <item x="790"/>
        <item x="789"/>
        <item x="548"/>
        <item x="788"/>
        <item x="787"/>
        <item x="786"/>
        <item x="785"/>
        <item x="784"/>
        <item x="547"/>
        <item x="546"/>
        <item x="783"/>
        <item x="782"/>
        <item x="781"/>
        <item x="780"/>
        <item x="779"/>
        <item x="778"/>
        <item x="777"/>
        <item x="545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544"/>
        <item x="764"/>
        <item x="763"/>
        <item x="762"/>
        <item x="761"/>
        <item x="543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542"/>
        <item x="748"/>
        <item x="541"/>
        <item x="747"/>
        <item x="746"/>
        <item x="745"/>
        <item x="744"/>
        <item x="743"/>
        <item x="742"/>
        <item x="741"/>
        <item x="540"/>
        <item x="740"/>
        <item x="739"/>
        <item x="738"/>
        <item x="737"/>
        <item x="736"/>
        <item x="539"/>
        <item x="538"/>
        <item x="735"/>
        <item x="734"/>
        <item x="537"/>
        <item x="536"/>
        <item x="733"/>
        <item x="732"/>
        <item x="731"/>
        <item x="535"/>
        <item x="730"/>
        <item x="729"/>
        <item x="534"/>
        <item x="728"/>
        <item x="727"/>
        <item x="533"/>
        <item x="726"/>
        <item x="725"/>
        <item x="724"/>
        <item x="723"/>
        <item x="532"/>
        <item x="531"/>
        <item x="722"/>
        <item x="721"/>
        <item x="530"/>
        <item x="720"/>
        <item x="529"/>
        <item x="719"/>
        <item x="528"/>
        <item x="718"/>
        <item x="527"/>
        <item x="526"/>
        <item x="717"/>
        <item x="716"/>
        <item x="525"/>
        <item x="715"/>
        <item x="714"/>
        <item x="713"/>
        <item x="712"/>
        <item x="711"/>
        <item x="524"/>
        <item x="710"/>
        <item x="709"/>
        <item x="523"/>
        <item x="522"/>
        <item x="708"/>
        <item x="707"/>
        <item x="706"/>
        <item x="705"/>
        <item x="704"/>
        <item x="703"/>
        <item x="702"/>
        <item x="701"/>
        <item x="700"/>
        <item x="521"/>
        <item x="520"/>
        <item x="699"/>
        <item x="698"/>
        <item x="697"/>
        <item x="696"/>
        <item x="695"/>
        <item x="694"/>
        <item x="693"/>
        <item x="692"/>
        <item x="519"/>
        <item x="691"/>
        <item x="518"/>
        <item x="517"/>
        <item x="690"/>
        <item x="516"/>
        <item x="689"/>
        <item x="688"/>
        <item x="515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514"/>
        <item x="676"/>
        <item x="675"/>
        <item x="674"/>
        <item x="513"/>
        <item x="673"/>
        <item x="672"/>
        <item x="671"/>
        <item x="670"/>
        <item x="669"/>
        <item x="512"/>
        <item x="668"/>
        <item x="667"/>
        <item x="666"/>
        <item x="665"/>
        <item x="511"/>
        <item x="664"/>
        <item x="663"/>
        <item x="662"/>
        <item x="661"/>
        <item x="510"/>
        <item x="660"/>
        <item x="659"/>
        <item x="658"/>
        <item x="509"/>
        <item x="657"/>
        <item x="656"/>
        <item x="655"/>
        <item x="654"/>
        <item x="508"/>
        <item x="653"/>
        <item x="652"/>
        <item x="651"/>
        <item x="507"/>
        <item x="650"/>
        <item x="506"/>
        <item x="505"/>
        <item x="504"/>
        <item x="649"/>
        <item x="503"/>
        <item x="648"/>
        <item x="647"/>
        <item x="646"/>
        <item x="502"/>
        <item x="501"/>
        <item x="645"/>
        <item x="500"/>
        <item x="644"/>
        <item x="643"/>
        <item x="642"/>
        <item x="499"/>
        <item x="641"/>
        <item x="640"/>
        <item x="498"/>
        <item x="639"/>
        <item x="497"/>
        <item x="638"/>
        <item x="637"/>
        <item x="636"/>
        <item x="635"/>
        <item x="496"/>
        <item x="495"/>
        <item x="634"/>
        <item x="633"/>
        <item x="632"/>
        <item x="494"/>
        <item x="493"/>
        <item x="492"/>
        <item x="491"/>
        <item x="490"/>
        <item x="489"/>
        <item x="631"/>
        <item x="630"/>
        <item x="488"/>
        <item x="487"/>
        <item x="486"/>
        <item x="629"/>
        <item x="485"/>
        <item x="484"/>
        <item x="628"/>
        <item x="627"/>
        <item x="483"/>
        <item x="482"/>
        <item x="626"/>
        <item x="481"/>
        <item x="625"/>
        <item x="480"/>
        <item x="479"/>
        <item x="624"/>
        <item x="478"/>
        <item x="623"/>
        <item x="622"/>
        <item x="477"/>
        <item x="476"/>
        <item x="475"/>
        <item x="474"/>
        <item x="473"/>
        <item x="621"/>
        <item x="472"/>
        <item x="620"/>
        <item x="471"/>
        <item x="470"/>
        <item x="469"/>
        <item x="468"/>
        <item x="619"/>
        <item x="618"/>
        <item x="617"/>
        <item x="467"/>
        <item x="616"/>
        <item x="466"/>
        <item x="465"/>
        <item x="615"/>
        <item x="464"/>
        <item x="614"/>
        <item x="463"/>
        <item x="462"/>
        <item x="461"/>
        <item x="460"/>
        <item x="459"/>
        <item x="458"/>
        <item x="457"/>
        <item x="456"/>
        <item x="613"/>
        <item x="455"/>
        <item x="612"/>
        <item x="454"/>
        <item x="453"/>
        <item x="611"/>
        <item x="452"/>
        <item x="610"/>
        <item x="451"/>
        <item x="609"/>
        <item x="450"/>
        <item x="449"/>
        <item x="448"/>
        <item x="447"/>
        <item x="446"/>
        <item x="608"/>
        <item x="445"/>
        <item x="444"/>
        <item x="443"/>
        <item x="607"/>
        <item x="606"/>
        <item x="605"/>
        <item x="604"/>
        <item x="603"/>
        <item x="442"/>
        <item x="441"/>
        <item x="602"/>
        <item x="440"/>
        <item x="439"/>
        <item x="601"/>
        <item x="600"/>
        <item x="438"/>
        <item x="437"/>
        <item x="436"/>
        <item x="599"/>
        <item x="435"/>
        <item x="434"/>
        <item x="598"/>
        <item x="433"/>
        <item x="432"/>
        <item x="431"/>
        <item x="597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596"/>
        <item x="419"/>
        <item x="595"/>
        <item x="418"/>
        <item x="594"/>
        <item x="417"/>
        <item x="416"/>
        <item x="415"/>
        <item x="414"/>
        <item x="413"/>
        <item x="593"/>
        <item x="412"/>
        <item x="411"/>
        <item x="410"/>
        <item x="592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591"/>
        <item x="394"/>
        <item x="590"/>
        <item x="589"/>
        <item x="393"/>
        <item x="392"/>
        <item x="391"/>
        <item x="390"/>
        <item x="389"/>
        <item x="388"/>
        <item x="387"/>
        <item x="386"/>
        <item x="588"/>
        <item x="587"/>
        <item x="586"/>
        <item x="385"/>
        <item x="384"/>
        <item x="383"/>
        <item x="382"/>
        <item x="381"/>
        <item x="380"/>
        <item x="379"/>
        <item x="585"/>
        <item x="378"/>
        <item x="377"/>
        <item x="376"/>
        <item x="375"/>
        <item x="584"/>
        <item x="374"/>
        <item x="373"/>
        <item x="372"/>
        <item x="371"/>
        <item x="370"/>
        <item x="369"/>
        <item x="368"/>
        <item x="367"/>
        <item x="366"/>
        <item x="583"/>
        <item x="365"/>
        <item x="582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581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580"/>
        <item x="318"/>
        <item x="317"/>
        <item x="316"/>
        <item x="315"/>
        <item x="314"/>
        <item x="313"/>
        <item x="312"/>
        <item x="311"/>
        <item x="310"/>
        <item x="579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578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57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576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905"/>
      </items>
    </pivotField>
    <pivotField compact="0" outline="0" showAll="0" defaultSubtotal="0">
      <items count="881">
        <item x="550"/>
        <item x="678"/>
        <item x="291"/>
        <item x="623"/>
        <item x="208"/>
        <item x="16"/>
        <item x="29"/>
        <item x="820"/>
        <item x="563"/>
        <item x="665"/>
        <item x="379"/>
        <item x="327"/>
        <item x="567"/>
        <item x="174"/>
        <item x="674"/>
        <item x="116"/>
        <item x="36"/>
        <item x="878"/>
        <item x="573"/>
        <item x="468"/>
        <item x="819"/>
        <item x="272"/>
        <item x="574"/>
        <item x="375"/>
        <item x="489"/>
        <item x="599"/>
        <item x="78"/>
        <item x="645"/>
        <item x="427"/>
        <item x="276"/>
        <item x="254"/>
        <item x="435"/>
        <item x="383"/>
        <item x="503"/>
        <item x="480"/>
        <item x="562"/>
        <item x="30"/>
        <item x="313"/>
        <item x="803"/>
        <item x="203"/>
        <item x="671"/>
        <item x="218"/>
        <item x="512"/>
        <item x="787"/>
        <item x="736"/>
        <item x="255"/>
        <item x="458"/>
        <item x="738"/>
        <item x="867"/>
        <item x="805"/>
        <item x="329"/>
        <item x="350"/>
        <item x="518"/>
        <item x="818"/>
        <item x="770"/>
        <item x="337"/>
        <item x="52"/>
        <item x="193"/>
        <item x="576"/>
        <item x="28"/>
        <item x="48"/>
        <item x="316"/>
        <item x="871"/>
        <item x="53"/>
        <item x="638"/>
        <item x="501"/>
        <item x="430"/>
        <item x="180"/>
        <item x="371"/>
        <item x="100"/>
        <item x="14"/>
        <item x="348"/>
        <item x="194"/>
        <item x="656"/>
        <item x="765"/>
        <item x="568"/>
        <item x="520"/>
        <item x="857"/>
        <item x="725"/>
        <item x="752"/>
        <item x="407"/>
        <item x="391"/>
        <item x="620"/>
        <item x="746"/>
        <item x="612"/>
        <item x="823"/>
        <item x="530"/>
        <item x="257"/>
        <item x="676"/>
        <item x="200"/>
        <item x="834"/>
        <item x="737"/>
        <item x="553"/>
        <item x="757"/>
        <item x="450"/>
        <item x="191"/>
        <item x="210"/>
        <item x="505"/>
        <item x="718"/>
        <item x="474"/>
        <item x="572"/>
        <item x="338"/>
        <item x="515"/>
        <item x="341"/>
        <item x="123"/>
        <item x="195"/>
        <item x="795"/>
        <item x="380"/>
        <item x="158"/>
        <item x="345"/>
        <item x="753"/>
        <item x="644"/>
        <item x="786"/>
        <item x="157"/>
        <item x="690"/>
        <item x="378"/>
        <item x="250"/>
        <item x="146"/>
        <item x="415"/>
        <item x="256"/>
        <item x="460"/>
        <item x="699"/>
        <item x="588"/>
        <item x="55"/>
        <item x="605"/>
        <item x="536"/>
        <item x="687"/>
        <item x="650"/>
        <item x="328"/>
        <item x="280"/>
        <item x="602"/>
        <item x="876"/>
        <item x="324"/>
        <item x="461"/>
        <item x="642"/>
        <item x="66"/>
        <item x="657"/>
        <item x="484"/>
        <item x="355"/>
        <item x="745"/>
        <item x="872"/>
        <item x="23"/>
        <item x="212"/>
        <item x="831"/>
        <item x="297"/>
        <item x="323"/>
        <item x="292"/>
        <item x="110"/>
        <item x="286"/>
        <item x="715"/>
        <item x="722"/>
        <item x="246"/>
        <item x="546"/>
        <item x="394"/>
        <item x="641"/>
        <item x="785"/>
        <item x="522"/>
        <item x="797"/>
        <item x="651"/>
        <item x="470"/>
        <item x="764"/>
        <item x="637"/>
        <item x="102"/>
        <item x="697"/>
        <item x="159"/>
        <item x="600"/>
        <item x="424"/>
        <item x="640"/>
        <item x="832"/>
        <item x="245"/>
        <item x="230"/>
        <item x="477"/>
        <item x="858"/>
        <item x="669"/>
        <item x="509"/>
        <item x="761"/>
        <item x="661"/>
        <item x="9"/>
        <item x="311"/>
        <item x="354"/>
        <item x="828"/>
        <item x="274"/>
        <item x="587"/>
        <item x="586"/>
        <item x="821"/>
        <item x="367"/>
        <item x="314"/>
        <item x="144"/>
        <item x="334"/>
        <item x="148"/>
        <item x="82"/>
        <item x="664"/>
        <item x="307"/>
        <item x="445"/>
        <item x="455"/>
        <item x="439"/>
        <item x="215"/>
        <item x="464"/>
        <item x="481"/>
        <item x="856"/>
        <item x="809"/>
        <item x="798"/>
        <item x="344"/>
        <item x="519"/>
        <item x="437"/>
        <item x="152"/>
        <item x="743"/>
        <item x="88"/>
        <item x="639"/>
        <item x="211"/>
        <item x="779"/>
        <item x="321"/>
        <item x="418"/>
        <item x="149"/>
        <item x="451"/>
        <item x="20"/>
        <item x="0"/>
        <item x="868"/>
        <item x="3"/>
        <item x="585"/>
        <item x="299"/>
        <item x="239"/>
        <item x="142"/>
        <item x="396"/>
        <item x="861"/>
        <item x="580"/>
        <item x="381"/>
        <item x="658"/>
        <item x="727"/>
        <item x="724"/>
        <item x="214"/>
        <item x="67"/>
        <item x="670"/>
        <item x="827"/>
        <item x="401"/>
        <item x="508"/>
        <item x="723"/>
        <item x="596"/>
        <item x="376"/>
        <item x="243"/>
        <item x="457"/>
        <item x="741"/>
        <item x="176"/>
        <item x="397"/>
        <item x="305"/>
        <item x="335"/>
        <item x="236"/>
        <item x="302"/>
        <item x="209"/>
        <item x="25"/>
        <item x="653"/>
        <item x="759"/>
        <item x="242"/>
        <item x="796"/>
        <item x="535"/>
        <item x="561"/>
        <item x="799"/>
        <item x="513"/>
        <item x="413"/>
        <item x="862"/>
        <item x="666"/>
        <item x="181"/>
        <item x="686"/>
        <item x="46"/>
        <item x="166"/>
        <item x="359"/>
        <item x="617"/>
        <item x="800"/>
        <item x="806"/>
        <item x="89"/>
        <item x="677"/>
        <item x="452"/>
        <item x="184"/>
        <item x="130"/>
        <item x="346"/>
        <item x="716"/>
        <item x="402"/>
        <item x="598"/>
        <item x="608"/>
        <item x="45"/>
        <item x="709"/>
        <item x="322"/>
        <item x="808"/>
        <item x="49"/>
        <item x="774"/>
        <item x="266"/>
        <item x="532"/>
        <item x="826"/>
        <item x="735"/>
        <item x="112"/>
        <item x="217"/>
        <item x="807"/>
        <item x="228"/>
        <item x="635"/>
        <item x="356"/>
        <item x="789"/>
        <item x="319"/>
        <item x="788"/>
        <item x="494"/>
        <item x="707"/>
        <item x="619"/>
        <item x="569"/>
        <item x="221"/>
        <item x="711"/>
        <item x="631"/>
        <item x="479"/>
        <item x="864"/>
        <item x="811"/>
        <item x="420"/>
        <item x="147"/>
        <item x="281"/>
        <item x="153"/>
        <item x="145"/>
        <item x="251"/>
        <item x="414"/>
        <item x="118"/>
        <item x="207"/>
        <item x="185"/>
        <item x="362"/>
        <item x="700"/>
        <item x="206"/>
        <item x="172"/>
        <item x="751"/>
        <item x="373"/>
        <item x="739"/>
        <item x="294"/>
        <item x="125"/>
        <item x="270"/>
        <item x="109"/>
        <item x="810"/>
        <item x="365"/>
        <item x="353"/>
        <item x="113"/>
        <item x="186"/>
        <item x="204"/>
        <item x="304"/>
        <item x="433"/>
        <item x="533"/>
        <item x="129"/>
        <item x="169"/>
        <item x="717"/>
        <item x="443"/>
        <item x="482"/>
        <item x="259"/>
        <item x="360"/>
        <item x="63"/>
        <item x="852"/>
        <item x="436"/>
        <item x="15"/>
        <item x="364"/>
        <item x="472"/>
        <item x="675"/>
        <item x="106"/>
        <item x="271"/>
        <item x="456"/>
        <item x="781"/>
        <item x="782"/>
        <item x="627"/>
        <item x="288"/>
        <item x="21"/>
        <item x="695"/>
        <item x="780"/>
        <item x="120"/>
        <item x="167"/>
        <item x="390"/>
        <item x="689"/>
        <item x="750"/>
        <item x="845"/>
        <item x="140"/>
        <item x="603"/>
        <item x="507"/>
        <item x="523"/>
        <item x="668"/>
        <item x="377"/>
        <item x="249"/>
        <item x="163"/>
        <item x="34"/>
        <item x="347"/>
        <item x="526"/>
        <item x="835"/>
        <item x="382"/>
        <item x="267"/>
        <item x="626"/>
        <item x="173"/>
        <item x="273"/>
        <item x="565"/>
        <item x="399"/>
        <item x="655"/>
        <item x="502"/>
        <item x="504"/>
        <item x="459"/>
        <item x="855"/>
        <item x="17"/>
        <item x="392"/>
        <item x="44"/>
        <item x="633"/>
        <item x="133"/>
        <item x="850"/>
        <item x="848"/>
        <item x="150"/>
        <item x="136"/>
        <item x="662"/>
        <item x="65"/>
        <item x="283"/>
        <item x="634"/>
        <item x="838"/>
        <item x="386"/>
        <item x="524"/>
        <item x="877"/>
        <item x="315"/>
        <item x="310"/>
        <item x="471"/>
        <item x="8"/>
        <item x="70"/>
        <item x="103"/>
        <item x="733"/>
        <item x="398"/>
        <item x="80"/>
        <item x="126"/>
        <item x="684"/>
        <item x="659"/>
        <item x="647"/>
        <item x="476"/>
        <item x="253"/>
        <item x="628"/>
        <item x="122"/>
        <item x="729"/>
        <item x="630"/>
        <item x="698"/>
        <item x="47"/>
        <item x="721"/>
        <item x="814"/>
        <item x="771"/>
        <item x="693"/>
        <item x="258"/>
        <item x="138"/>
        <item x="511"/>
        <item x="813"/>
        <item x="99"/>
        <item x="440"/>
        <item x="219"/>
        <item x="613"/>
        <item x="263"/>
        <item x="851"/>
        <item x="231"/>
        <item x="298"/>
        <item x="691"/>
        <item x="791"/>
        <item x="252"/>
        <item x="317"/>
        <item x="534"/>
        <item x="105"/>
        <item x="778"/>
        <item x="487"/>
        <item x="551"/>
        <item x="581"/>
        <item x="306"/>
        <item x="143"/>
        <item x="76"/>
        <item x="632"/>
        <item x="309"/>
        <item x="96"/>
        <item x="444"/>
        <item x="836"/>
        <item x="425"/>
        <item x="83"/>
        <item x="416"/>
        <item x="357"/>
        <item x="648"/>
        <item x="164"/>
        <item x="853"/>
        <item x="177"/>
        <item x="24"/>
        <item x="801"/>
        <item x="705"/>
        <item x="54"/>
        <item x="584"/>
        <item x="673"/>
        <item x="589"/>
        <item x="615"/>
        <item x="498"/>
        <item x="61"/>
        <item x="680"/>
        <item x="318"/>
        <item x="41"/>
        <item x="223"/>
        <item x="860"/>
        <item x="578"/>
        <item x="97"/>
        <item x="710"/>
        <item x="370"/>
        <item x="308"/>
        <item x="220"/>
        <item x="428"/>
        <item x="84"/>
        <item x="549"/>
        <item x="422"/>
        <item x="225"/>
        <item x="301"/>
        <item x="543"/>
        <item x="817"/>
        <item x="233"/>
        <item x="264"/>
        <item x="333"/>
        <item x="224"/>
        <item x="241"/>
        <item x="366"/>
        <item x="278"/>
        <item x="554"/>
        <item x="165"/>
        <item x="205"/>
        <item x="652"/>
        <item x="547"/>
        <item x="104"/>
        <item x="81"/>
        <item x="387"/>
        <item x="59"/>
        <item x="426"/>
        <item x="2"/>
        <item x="331"/>
        <item x="794"/>
        <item x="488"/>
        <item x="442"/>
        <item x="27"/>
        <item x="197"/>
        <item x="303"/>
        <item x="646"/>
        <item x="395"/>
        <item x="539"/>
        <item x="478"/>
        <item x="462"/>
        <item x="244"/>
        <item x="58"/>
        <item x="326"/>
        <item x="866"/>
        <item x="86"/>
        <item x="703"/>
        <item x="870"/>
        <item x="525"/>
        <item x="69"/>
        <item x="285"/>
        <item x="681"/>
        <item x="269"/>
        <item x="296"/>
        <item x="64"/>
        <item x="135"/>
        <item x="284"/>
        <item x="342"/>
        <item x="56"/>
        <item x="538"/>
        <item x="170"/>
        <item x="654"/>
        <item x="590"/>
        <item x="485"/>
        <item x="726"/>
        <item x="475"/>
        <item x="829"/>
        <item x="188"/>
        <item x="556"/>
        <item x="510"/>
        <item x="114"/>
        <item x="756"/>
        <item x="229"/>
        <item x="762"/>
        <item x="685"/>
        <item x="277"/>
        <item x="162"/>
        <item x="790"/>
        <item x="527"/>
        <item x="701"/>
        <item x="610"/>
        <item x="18"/>
        <item x="544"/>
        <item x="247"/>
        <item x="594"/>
        <item x="601"/>
        <item x="449"/>
        <item x="403"/>
        <item x="557"/>
        <item x="227"/>
        <item x="412"/>
        <item x="441"/>
        <item x="409"/>
        <item x="361"/>
        <item x="290"/>
        <item x="352"/>
        <item x="389"/>
        <item x="31"/>
        <item x="830"/>
        <item x="776"/>
        <item x="643"/>
        <item x="616"/>
        <item x="621"/>
        <item x="235"/>
        <item x="528"/>
        <item x="339"/>
        <item x="869"/>
        <item x="566"/>
        <item x="429"/>
        <item x="624"/>
        <item x="388"/>
        <item x="369"/>
        <item x="421"/>
        <item x="825"/>
        <item x="51"/>
        <item x="537"/>
        <item x="618"/>
        <item x="865"/>
        <item x="540"/>
        <item x="237"/>
        <item x="289"/>
        <item x="454"/>
        <item x="248"/>
        <item x="694"/>
        <item x="385"/>
        <item x="622"/>
        <item x="517"/>
        <item x="873"/>
        <item x="629"/>
        <item x="7"/>
        <item x="62"/>
        <item x="417"/>
        <item x="702"/>
        <item x="312"/>
        <item x="859"/>
        <item x="295"/>
        <item x="773"/>
        <item x="854"/>
        <item x="486"/>
        <item x="531"/>
        <item x="108"/>
        <item x="447"/>
        <item x="199"/>
        <item x="119"/>
        <item x="406"/>
        <item x="332"/>
        <item x="128"/>
        <item x="763"/>
        <item x="496"/>
        <item x="262"/>
        <item x="466"/>
        <item x="71"/>
        <item x="72"/>
        <item x="111"/>
        <item x="4"/>
        <item x="372"/>
        <item x="728"/>
        <item x="683"/>
        <item x="463"/>
        <item x="32"/>
        <item x="115"/>
        <item x="682"/>
        <item x="492"/>
        <item x="33"/>
        <item x="132"/>
        <item x="408"/>
        <item x="131"/>
        <item x="609"/>
        <item x="842"/>
        <item x="500"/>
        <item x="483"/>
        <item x="196"/>
        <item x="77"/>
        <item x="607"/>
        <item x="161"/>
        <item x="636"/>
        <item x="744"/>
        <item x="432"/>
        <item x="491"/>
        <item x="340"/>
        <item x="604"/>
        <item x="453"/>
        <item x="490"/>
        <item x="874"/>
        <item x="57"/>
        <item x="625"/>
        <item x="213"/>
        <item x="559"/>
        <item x="13"/>
        <item x="40"/>
        <item x="279"/>
        <item x="541"/>
        <item x="151"/>
        <item x="614"/>
        <item x="95"/>
        <item x="160"/>
        <item x="60"/>
        <item x="843"/>
        <item x="368"/>
        <item x="815"/>
        <item x="730"/>
        <item x="514"/>
        <item x="696"/>
        <item x="577"/>
        <item x="575"/>
        <item x="824"/>
        <item x="467"/>
        <item x="190"/>
        <item x="495"/>
        <item x="336"/>
        <item x="400"/>
        <item x="93"/>
        <item x="423"/>
        <item x="768"/>
        <item x="265"/>
        <item x="410"/>
        <item x="792"/>
        <item x="300"/>
        <item x="325"/>
        <item x="293"/>
        <item x="349"/>
        <item x="714"/>
        <item x="812"/>
        <item x="672"/>
        <item x="713"/>
        <item x="802"/>
        <item x="168"/>
        <item x="43"/>
        <item x="202"/>
        <item x="39"/>
        <item x="606"/>
        <item x="597"/>
        <item x="469"/>
        <item x="411"/>
        <item x="755"/>
        <item x="548"/>
        <item x="154"/>
        <item x="529"/>
        <item x="679"/>
        <item x="434"/>
        <item x="875"/>
        <item x="74"/>
        <item x="320"/>
        <item x="179"/>
        <item x="232"/>
        <item x="178"/>
        <item x="11"/>
        <item x="240"/>
        <item x="611"/>
        <item x="139"/>
        <item x="141"/>
        <item x="226"/>
        <item x="754"/>
        <item x="287"/>
        <item x="863"/>
        <item x="740"/>
        <item x="564"/>
        <item x="187"/>
        <item x="708"/>
        <item x="92"/>
        <item x="822"/>
        <item x="446"/>
        <item x="473"/>
        <item x="171"/>
        <item x="583"/>
        <item x="784"/>
        <item x="238"/>
        <item x="748"/>
        <item x="777"/>
        <item x="732"/>
        <item x="841"/>
        <item x="358"/>
        <item x="137"/>
        <item x="706"/>
        <item x="846"/>
        <item x="73"/>
        <item x="734"/>
        <item x="840"/>
        <item x="5"/>
        <item x="198"/>
        <item x="182"/>
        <item x="189"/>
        <item x="760"/>
        <item x="591"/>
        <item x="343"/>
        <item x="91"/>
        <item x="769"/>
        <item x="660"/>
        <item x="847"/>
        <item x="595"/>
        <item x="175"/>
        <item x="94"/>
        <item x="260"/>
        <item x="839"/>
        <item x="731"/>
        <item x="183"/>
        <item x="816"/>
        <item x="497"/>
        <item x="833"/>
        <item x="516"/>
        <item x="582"/>
        <item x="545"/>
        <item x="775"/>
        <item x="405"/>
        <item x="742"/>
        <item x="107"/>
        <item x="275"/>
        <item x="558"/>
        <item x="493"/>
        <item x="87"/>
        <item x="593"/>
        <item x="192"/>
        <item x="521"/>
        <item x="571"/>
        <item x="37"/>
        <item x="804"/>
        <item x="438"/>
        <item x="499"/>
        <item x="216"/>
        <item x="127"/>
        <item x="560"/>
        <item x="26"/>
        <item x="117"/>
        <item x="155"/>
        <item x="758"/>
        <item x="783"/>
        <item x="261"/>
        <item x="330"/>
        <item x="101"/>
        <item x="879"/>
        <item x="793"/>
        <item x="50"/>
        <item x="42"/>
        <item x="772"/>
        <item x="374"/>
        <item x="663"/>
        <item x="837"/>
        <item x="542"/>
        <item x="844"/>
        <item x="222"/>
        <item x="134"/>
        <item x="465"/>
        <item x="849"/>
        <item x="234"/>
        <item x="90"/>
        <item x="767"/>
        <item x="6"/>
        <item x="692"/>
        <item x="393"/>
        <item x="506"/>
        <item x="570"/>
        <item x="704"/>
        <item x="384"/>
        <item x="667"/>
        <item x="156"/>
        <item x="448"/>
        <item x="579"/>
        <item x="124"/>
        <item x="720"/>
        <item x="649"/>
        <item x="268"/>
        <item x="1"/>
        <item x="363"/>
        <item x="121"/>
        <item x="404"/>
        <item x="10"/>
        <item x="555"/>
        <item x="747"/>
        <item x="552"/>
        <item x="592"/>
        <item x="22"/>
        <item x="85"/>
        <item x="75"/>
        <item x="12"/>
        <item x="719"/>
        <item x="712"/>
        <item x="19"/>
        <item x="68"/>
        <item x="431"/>
        <item x="98"/>
        <item x="749"/>
        <item x="282"/>
        <item x="351"/>
        <item x="419"/>
        <item x="35"/>
        <item x="79"/>
        <item x="38"/>
        <item x="201"/>
        <item x="688"/>
        <item x="766"/>
        <item x="880"/>
      </items>
    </pivotField>
    <pivotField compact="0" outline="0" showAll="0" defaultSubtotal="0">
      <items count="909">
        <item x="507"/>
        <item x="52"/>
        <item x="45"/>
        <item x="7"/>
        <item x="25"/>
        <item x="144"/>
        <item x="36"/>
        <item x="63"/>
        <item x="119"/>
        <item x="518"/>
        <item x="778"/>
        <item x="611"/>
        <item x="345"/>
        <item x="819"/>
        <item x="522"/>
        <item x="623"/>
        <item x="818"/>
        <item x="630"/>
        <item x="151"/>
        <item x="485"/>
        <item x="620"/>
        <item x="100"/>
        <item x="782"/>
        <item x="34"/>
        <item x="197"/>
        <item x="528"/>
        <item x="430"/>
        <item x="726"/>
        <item x="763"/>
        <item x="813"/>
        <item x="242"/>
        <item x="897"/>
        <item x="529"/>
        <item x="341"/>
        <item x="552"/>
        <item x="377"/>
        <item x="875"/>
        <item x="593"/>
        <item x="901"/>
        <item x="352"/>
        <item x="245"/>
        <item x="18"/>
        <item x="349"/>
        <item x="451"/>
        <item x="348"/>
        <item x="441"/>
        <item x="513"/>
        <item x="517"/>
        <item x="747"/>
        <item x="179"/>
        <item x="575"/>
        <item x="617"/>
        <item x="879"/>
        <item x="821"/>
        <item x="238"/>
        <item x="681"/>
        <item x="367"/>
        <item x="411"/>
        <item x="873"/>
        <item x="421"/>
        <item x="396"/>
        <item x="683"/>
        <item x="809"/>
        <item x="749"/>
        <item x="299"/>
        <item x="318"/>
        <item x="477"/>
        <item x="762"/>
        <item x="714"/>
        <item x="26"/>
        <item x="48"/>
        <item x="297"/>
        <item x="286"/>
        <item x="812"/>
        <item x="49"/>
        <item x="586"/>
        <item x="391"/>
        <item x="394"/>
        <item x="158"/>
        <item x="336"/>
        <item x="87"/>
        <item x="13"/>
        <item x="603"/>
        <item x="710"/>
        <item x="523"/>
        <item x="464"/>
        <item x="479"/>
        <item x="24"/>
        <item x="373"/>
        <item x="307"/>
        <item x="572"/>
        <item x="691"/>
        <item x="564"/>
        <item x="766"/>
        <item x="488"/>
        <item x="228"/>
        <item x="622"/>
        <item x="177"/>
        <item x="777"/>
        <item x="31"/>
        <item x="259"/>
        <item x="682"/>
        <item x="353"/>
        <item x="702"/>
        <item x="413"/>
        <item x="169"/>
        <item x="466"/>
        <item x="663"/>
        <item x="435"/>
        <item x="308"/>
        <item x="283"/>
        <item x="474"/>
        <item x="859"/>
        <item x="310"/>
        <item x="173"/>
        <item x="738"/>
        <item x="346"/>
        <item x="261"/>
        <item x="337"/>
        <item x="314"/>
        <item x="698"/>
        <item x="592"/>
        <item x="357"/>
        <item x="729"/>
        <item x="135"/>
        <item x="635"/>
        <item x="344"/>
        <item x="708"/>
        <item x="222"/>
        <item x="126"/>
        <item x="379"/>
        <item x="227"/>
        <item x="644"/>
        <item x="57"/>
        <item x="50"/>
        <item x="558"/>
        <item x="20"/>
        <item x="494"/>
        <item x="395"/>
        <item x="133"/>
        <item x="632"/>
        <item x="598"/>
        <item x="298"/>
        <item x="249"/>
        <item x="722"/>
        <item x="107"/>
        <item x="555"/>
        <item x="75"/>
        <item x="871"/>
        <item x="294"/>
        <item x="424"/>
        <item x="590"/>
        <item x="527"/>
        <item x="58"/>
        <item x="890"/>
        <item x="323"/>
        <item x="113"/>
        <item x="872"/>
        <item x="187"/>
        <item x="774"/>
        <item x="267"/>
        <item x="69"/>
        <item x="262"/>
        <item x="12"/>
        <item x="660"/>
        <item x="667"/>
        <item x="60"/>
        <item x="503"/>
        <item x="360"/>
        <item x="589"/>
        <item x="728"/>
        <item x="599"/>
        <item x="432"/>
        <item x="709"/>
        <item x="585"/>
        <item x="88"/>
        <item x="642"/>
        <item x="137"/>
        <item x="553"/>
        <item x="495"/>
        <item x="388"/>
        <item x="820"/>
        <item x="588"/>
        <item x="205"/>
        <item x="27"/>
        <item x="423"/>
        <item x="903"/>
        <item x="615"/>
        <item x="469"/>
        <item x="706"/>
        <item x="607"/>
        <item x="9"/>
        <item x="281"/>
        <item x="244"/>
        <item x="540"/>
        <item x="539"/>
        <item x="764"/>
        <item x="284"/>
        <item x="124"/>
        <item x="304"/>
        <item x="128"/>
        <item x="610"/>
        <item x="277"/>
        <item x="418"/>
        <item x="190"/>
        <item x="426"/>
        <item x="442"/>
        <item x="799"/>
        <item x="784"/>
        <item x="753"/>
        <item x="514"/>
        <item x="742"/>
        <item x="508"/>
        <item x="313"/>
        <item x="478"/>
        <item x="401"/>
        <item x="293"/>
        <item x="790"/>
        <item x="688"/>
        <item x="76"/>
        <item x="587"/>
        <item x="117"/>
        <item x="291"/>
        <item x="414"/>
        <item x="226"/>
        <item x="0"/>
        <item x="3"/>
        <item x="538"/>
        <item x="269"/>
        <item x="214"/>
        <item x="171"/>
        <item x="362"/>
        <item x="605"/>
        <item x="152"/>
        <item x="775"/>
        <item x="672"/>
        <item x="420"/>
        <item x="415"/>
        <item x="838"/>
        <item x="616"/>
        <item x="53"/>
        <item x="322"/>
        <item x="668"/>
        <item x="549"/>
        <item x="342"/>
        <item x="217"/>
        <item x="59"/>
        <item x="899"/>
        <item x="153"/>
        <item x="363"/>
        <item x="275"/>
        <item x="541"/>
        <item x="305"/>
        <item x="23"/>
        <item x="600"/>
        <item x="211"/>
        <item x="130"/>
        <item x="891"/>
        <item x="704"/>
        <item x="288"/>
        <item x="347"/>
        <item x="216"/>
        <item x="496"/>
        <item x="403"/>
        <item x="739"/>
        <item x="493"/>
        <item x="516"/>
        <item x="472"/>
        <item x="870"/>
        <item x="831"/>
        <item x="669"/>
        <item x="612"/>
        <item x="159"/>
        <item x="458"/>
        <item x="631"/>
        <item x="327"/>
        <item x="569"/>
        <item x="744"/>
        <item x="750"/>
        <item x="77"/>
        <item x="162"/>
        <item x="112"/>
        <item x="884"/>
        <item x="184"/>
        <item x="661"/>
        <item x="551"/>
        <item x="561"/>
        <item x="42"/>
        <item x="191"/>
        <item x="41"/>
        <item x="811"/>
        <item x="105"/>
        <item x="730"/>
        <item x="654"/>
        <item x="292"/>
        <item x="368"/>
        <item x="878"/>
        <item x="815"/>
        <item x="718"/>
        <item x="490"/>
        <item x="769"/>
        <item x="97"/>
        <item x="192"/>
        <item x="751"/>
        <item x="28"/>
        <item x="333"/>
        <item x="193"/>
        <item x="235"/>
        <item x="324"/>
        <item x="700"/>
        <item x="894"/>
        <item x="408"/>
        <item x="732"/>
        <item x="289"/>
        <item x="731"/>
        <item x="455"/>
        <item x="583"/>
        <item x="652"/>
        <item x="462"/>
        <item x="438"/>
        <item x="571"/>
        <item x="531"/>
        <item x="524"/>
        <item x="203"/>
        <item x="196"/>
        <item x="656"/>
        <item x="579"/>
        <item x="440"/>
        <item x="148"/>
        <item x="885"/>
        <item x="384"/>
        <item x="694"/>
        <item x="250"/>
        <item x="131"/>
        <item x="125"/>
        <item x="770"/>
        <item x="223"/>
        <item x="378"/>
        <item x="129"/>
        <item x="163"/>
        <item x="71"/>
        <item x="178"/>
        <item x="330"/>
        <item x="645"/>
        <item x="79"/>
        <item x="182"/>
        <item x="755"/>
        <item x="150"/>
        <item x="696"/>
        <item x="684"/>
        <item x="264"/>
        <item x="136"/>
        <item x="902"/>
        <item x="300"/>
        <item x="21"/>
        <item x="754"/>
        <item x="122"/>
        <item x="321"/>
        <item x="180"/>
        <item x="274"/>
        <item x="397"/>
        <item x="491"/>
        <item x="111"/>
        <item x="833"/>
        <item x="662"/>
        <item x="406"/>
        <item x="443"/>
        <item x="230"/>
        <item x="328"/>
        <item x="826"/>
        <item x="795"/>
        <item x="400"/>
        <item x="370"/>
        <item x="14"/>
        <item x="860"/>
        <item x="680"/>
        <item x="241"/>
        <item x="419"/>
        <item x="724"/>
        <item x="382"/>
        <item x="533"/>
        <item x="725"/>
        <item x="576"/>
        <item x="257"/>
        <item x="640"/>
        <item x="723"/>
        <item x="104"/>
        <item x="356"/>
        <item x="161"/>
        <item x="634"/>
        <item x="695"/>
        <item x="895"/>
        <item x="788"/>
        <item x="120"/>
        <item x="556"/>
        <item x="468"/>
        <item x="482"/>
        <item x="614"/>
        <item x="343"/>
        <item x="221"/>
        <item x="140"/>
        <item x="316"/>
        <item x="255"/>
        <item x="839"/>
        <item x="67"/>
        <item x="604"/>
        <item x="237"/>
        <item x="869"/>
        <item x="752"/>
        <item x="520"/>
        <item x="331"/>
        <item x="771"/>
        <item x="504"/>
        <item x="450"/>
        <item x="499"/>
        <item x="647"/>
        <item x="602"/>
        <item x="465"/>
        <item x="422"/>
        <item x="798"/>
        <item x="358"/>
        <item x="19"/>
        <item x="686"/>
        <item x="40"/>
        <item x="581"/>
        <item x="114"/>
        <item x="791"/>
        <item x="854"/>
        <item x="186"/>
        <item x="608"/>
        <item x="743"/>
        <item x="147"/>
        <item x="252"/>
        <item x="582"/>
        <item x="781"/>
        <item x="55"/>
        <item x="285"/>
        <item x="433"/>
        <item x="8"/>
        <item x="98"/>
        <item x="243"/>
        <item x="678"/>
        <item x="857"/>
        <item x="364"/>
        <item x="445"/>
        <item x="827"/>
        <item x="109"/>
        <item x="629"/>
        <item x="595"/>
        <item x="882"/>
        <item x="225"/>
        <item x="483"/>
        <item x="577"/>
        <item x="578"/>
        <item x="643"/>
        <item x="44"/>
        <item x="666"/>
        <item x="758"/>
        <item x="715"/>
        <item x="229"/>
        <item x="219"/>
        <item x="904"/>
        <item x="92"/>
        <item x="183"/>
        <item x="757"/>
        <item x="404"/>
        <item x="194"/>
        <item x="565"/>
        <item x="794"/>
        <item x="206"/>
        <item x="268"/>
        <item x="868"/>
        <item x="15"/>
        <item x="636"/>
        <item x="734"/>
        <item x="224"/>
        <item x="287"/>
        <item x="867"/>
        <item x="127"/>
        <item x="492"/>
        <item x="91"/>
        <item x="65"/>
        <item x="448"/>
        <item x="852"/>
        <item x="276"/>
        <item x="123"/>
        <item x="437"/>
        <item x="580"/>
        <item x="279"/>
        <item x="143"/>
        <item x="234"/>
        <item x="407"/>
        <item x="779"/>
        <item x="172"/>
        <item x="389"/>
        <item x="828"/>
        <item x="380"/>
        <item x="325"/>
        <item x="596"/>
        <item x="141"/>
        <item x="511"/>
        <item x="154"/>
        <item x="745"/>
        <item x="650"/>
        <item x="185"/>
        <item x="889"/>
        <item x="874"/>
        <item x="537"/>
        <item x="542"/>
        <item x="481"/>
        <item x="567"/>
        <item x="459"/>
        <item x="625"/>
        <item x="280"/>
        <item x="843"/>
        <item x="198"/>
        <item x="95"/>
        <item x="803"/>
        <item x="655"/>
        <item x="278"/>
        <item x="392"/>
        <item x="506"/>
        <item x="386"/>
        <item x="896"/>
        <item x="761"/>
        <item x="303"/>
        <item x="199"/>
        <item x="877"/>
        <item x="332"/>
        <item x="247"/>
        <item x="200"/>
        <item x="70"/>
        <item x="390"/>
        <item x="301"/>
        <item x="399"/>
        <item x="737"/>
        <item x="449"/>
        <item x="175"/>
        <item x="697"/>
        <item x="361"/>
        <item x="72"/>
        <item x="497"/>
        <item x="142"/>
        <item x="439"/>
        <item x="534"/>
        <item x="311"/>
        <item x="381"/>
        <item x="296"/>
        <item x="808"/>
        <item x="74"/>
        <item x="648"/>
        <item x="102"/>
        <item x="254"/>
        <item x="626"/>
        <item x="239"/>
        <item x="266"/>
        <item x="116"/>
        <item x="253"/>
        <item x="601"/>
        <item x="446"/>
        <item x="671"/>
        <item x="436"/>
        <item x="772"/>
        <item x="166"/>
        <item x="22"/>
        <item x="886"/>
        <item x="701"/>
        <item x="847"/>
        <item x="85"/>
        <item x="707"/>
        <item x="246"/>
        <item x="733"/>
        <item x="829"/>
        <item x="646"/>
        <item x="563"/>
        <item x="862"/>
        <item x="501"/>
        <item x="898"/>
        <item x="554"/>
        <item x="412"/>
        <item x="369"/>
        <item x="73"/>
        <item x="16"/>
        <item x="376"/>
        <item x="405"/>
        <item x="741"/>
        <item x="329"/>
        <item x="260"/>
        <item x="355"/>
        <item x="29"/>
        <item x="773"/>
        <item x="84"/>
        <item x="272"/>
        <item x="66"/>
        <item x="720"/>
        <item x="591"/>
        <item x="568"/>
        <item x="210"/>
        <item x="486"/>
        <item x="823"/>
        <item x="521"/>
        <item x="157"/>
        <item x="393"/>
        <item x="574"/>
        <item x="816"/>
        <item x="354"/>
        <item x="335"/>
        <item x="793"/>
        <item x="385"/>
        <item x="768"/>
        <item x="47"/>
        <item x="570"/>
        <item x="340"/>
        <item x="212"/>
        <item x="639"/>
        <item x="905"/>
        <item x="351"/>
        <item x="271"/>
        <item x="573"/>
        <item x="906"/>
        <item x="476"/>
        <item x="814"/>
        <item x="638"/>
        <item x="231"/>
        <item x="83"/>
        <item x="176"/>
        <item x="850"/>
        <item x="845"/>
        <item x="90"/>
        <item x="841"/>
        <item x="802"/>
        <item x="717"/>
        <item x="797"/>
        <item x="447"/>
        <item x="846"/>
        <item x="489"/>
        <item x="94"/>
        <item x="417"/>
        <item x="484"/>
        <item x="302"/>
        <item x="258"/>
        <item x="800"/>
        <item x="365"/>
        <item x="108"/>
        <item x="61"/>
        <item x="62"/>
        <item x="471"/>
        <item x="96"/>
        <item x="282"/>
        <item x="51"/>
        <item x="4"/>
        <item x="338"/>
        <item x="673"/>
        <item x="907"/>
        <item x="628"/>
        <item x="512"/>
        <item x="30"/>
        <item x="99"/>
        <item x="627"/>
        <item x="453"/>
        <item x="181"/>
        <item x="893"/>
        <item x="428"/>
        <item x="562"/>
        <item x="785"/>
        <item x="461"/>
        <item x="444"/>
        <item x="830"/>
        <item x="560"/>
        <item x="887"/>
        <item x="584"/>
        <item x="855"/>
        <item x="689"/>
        <item x="457"/>
        <item x="452"/>
        <item x="309"/>
        <item x="557"/>
        <item x="543"/>
        <item x="863"/>
        <item x="188"/>
        <item x="804"/>
        <item x="248"/>
        <item x="106"/>
        <item x="883"/>
        <item x="498"/>
        <item x="740"/>
        <item x="566"/>
        <item x="796"/>
        <item x="118"/>
        <item x="786"/>
        <item x="334"/>
        <item x="759"/>
        <item x="801"/>
        <item x="675"/>
        <item x="374"/>
        <item x="641"/>
        <item x="532"/>
        <item x="880"/>
        <item x="530"/>
        <item x="767"/>
        <item x="429"/>
        <item x="840"/>
        <item x="168"/>
        <item x="456"/>
        <item x="306"/>
        <item x="174"/>
        <item x="366"/>
        <item x="80"/>
        <item x="387"/>
        <item x="837"/>
        <item x="375"/>
        <item x="500"/>
        <item x="735"/>
        <item x="218"/>
        <item x="295"/>
        <item x="263"/>
        <item x="265"/>
        <item x="139"/>
        <item x="317"/>
        <item x="359"/>
        <item x="659"/>
        <item x="756"/>
        <item x="37"/>
        <item x="618"/>
        <item x="658"/>
        <item x="746"/>
        <item x="410"/>
        <item x="39"/>
        <item x="836"/>
        <item x="110"/>
        <item x="204"/>
        <item x="559"/>
        <item x="550"/>
        <item x="431"/>
        <item x="195"/>
        <item x="908"/>
        <item x="132"/>
        <item x="43"/>
        <item x="463"/>
        <item x="810"/>
        <item x="881"/>
        <item x="487"/>
        <item x="624"/>
        <item x="398"/>
        <item x="892"/>
        <item x="54"/>
        <item x="290"/>
        <item x="207"/>
        <item x="156"/>
        <item x="215"/>
        <item x="32"/>
        <item x="121"/>
        <item x="621"/>
        <item x="844"/>
        <item x="201"/>
        <item x="699"/>
        <item x="806"/>
        <item x="470"/>
        <item x="320"/>
        <item x="685"/>
        <item x="372"/>
        <item x="676"/>
        <item x="519"/>
        <item x="165"/>
        <item x="653"/>
        <item x="765"/>
        <item x="409"/>
        <item x="89"/>
        <item x="434"/>
        <item x="149"/>
        <item x="536"/>
        <item x="103"/>
        <item x="712"/>
        <item x="727"/>
        <item x="693"/>
        <item x="721"/>
        <item x="677"/>
        <item x="326"/>
        <item x="82"/>
        <item x="849"/>
        <item x="651"/>
        <item x="679"/>
        <item x="783"/>
        <item x="5"/>
        <item x="842"/>
        <item x="160"/>
        <item x="167"/>
        <item x="888"/>
        <item x="273"/>
        <item x="705"/>
        <item x="866"/>
        <item x="544"/>
        <item x="900"/>
        <item x="236"/>
        <item x="713"/>
        <item x="606"/>
        <item x="548"/>
        <item x="232"/>
        <item x="690"/>
        <item x="56"/>
        <item x="760"/>
        <item x="11"/>
        <item x="776"/>
        <item x="475"/>
        <item x="240"/>
        <item x="164"/>
        <item x="86"/>
        <item x="858"/>
        <item x="719"/>
        <item x="256"/>
        <item x="371"/>
        <item x="856"/>
        <item x="473"/>
        <item x="510"/>
        <item x="687"/>
        <item x="93"/>
        <item x="515"/>
        <item x="454"/>
        <item x="505"/>
        <item x="502"/>
        <item x="546"/>
        <item x="480"/>
        <item x="526"/>
        <item x="146"/>
        <item x="138"/>
        <item x="748"/>
        <item x="315"/>
        <item x="876"/>
        <item x="619"/>
        <item x="460"/>
        <item x="832"/>
        <item x="807"/>
        <item x="703"/>
        <item x="233"/>
        <item x="81"/>
        <item x="78"/>
        <item x="736"/>
        <item x="46"/>
        <item x="38"/>
        <item x="716"/>
        <item x="609"/>
        <item x="780"/>
        <item x="220"/>
        <item x="189"/>
        <item x="416"/>
        <item x="115"/>
        <item x="547"/>
        <item x="805"/>
        <item x="427"/>
        <item x="202"/>
        <item x="851"/>
        <item x="270"/>
        <item x="792"/>
        <item x="674"/>
        <item x="209"/>
        <item x="711"/>
        <item x="6"/>
        <item x="637"/>
        <item x="835"/>
        <item x="864"/>
        <item x="467"/>
        <item x="525"/>
        <item x="848"/>
        <item x="649"/>
        <item x="834"/>
        <item x="350"/>
        <item x="613"/>
        <item x="670"/>
        <item x="312"/>
        <item x="509"/>
        <item x="213"/>
        <item x="853"/>
        <item x="594"/>
        <item x="339"/>
        <item x="861"/>
        <item x="665"/>
        <item x="817"/>
        <item x="101"/>
        <item x="402"/>
        <item x="170"/>
        <item x="1"/>
        <item x="597"/>
        <item x="789"/>
        <item x="10"/>
        <item x="692"/>
        <item x="545"/>
        <item x="865"/>
        <item x="208"/>
        <item x="64"/>
        <item x="664"/>
        <item x="657"/>
        <item x="17"/>
        <item x="787"/>
        <item x="155"/>
        <item x="425"/>
        <item x="825"/>
        <item x="145"/>
        <item x="251"/>
        <item x="319"/>
        <item x="134"/>
        <item x="33"/>
        <item x="68"/>
        <item x="35"/>
        <item x="383"/>
        <item x="633"/>
        <item x="824"/>
        <item x="2"/>
        <item x="535"/>
        <item x="822"/>
      </items>
    </pivotField>
    <pivotField axis="axisRow" compact="0" outline="0" showAll="0" defaultSubtotal="0">
      <items count="459">
        <item x="414"/>
        <item x="232"/>
        <item x="14"/>
        <item x="15"/>
        <item x="24"/>
        <item x="103"/>
        <item x="364"/>
        <item x="85"/>
        <item x="12"/>
        <item x="342"/>
        <item x="195"/>
        <item x="68"/>
        <item x="165"/>
        <item x="11"/>
        <item x="176"/>
        <item x="445"/>
        <item x="93"/>
        <item x="285"/>
        <item x="0"/>
        <item x="79"/>
        <item x="89"/>
        <item x="198"/>
        <item x="162"/>
        <item x="256"/>
        <item x="140"/>
        <item x="155"/>
        <item x="157"/>
        <item x="16"/>
        <item x="222"/>
        <item x="9"/>
        <item x="43"/>
        <item x="300"/>
        <item x="18"/>
        <item x="387"/>
        <item x="203"/>
        <item x="57"/>
        <item x="154"/>
        <item x="73"/>
        <item x="210"/>
        <item x="441"/>
        <item x="44"/>
        <item x="3"/>
        <item x="102"/>
        <item x="239"/>
        <item x="224"/>
        <item x="192"/>
        <item x="25"/>
        <item x="260"/>
        <item x="58"/>
        <item x="159"/>
        <item x="377"/>
        <item x="174"/>
        <item x="29"/>
        <item x="357"/>
        <item x="4"/>
        <item x="117"/>
        <item x="134"/>
        <item x="6"/>
        <item x="33"/>
        <item x="30"/>
        <item x="141"/>
        <item x="39"/>
        <item x="118"/>
        <item x="266"/>
        <item x="10"/>
        <item x="248"/>
        <item x="19"/>
        <item x="267"/>
        <item x="264"/>
        <item x="94"/>
        <item x="362"/>
        <item x="321"/>
        <item x="253"/>
        <item x="363"/>
        <item x="281"/>
        <item x="369"/>
        <item x="52"/>
        <item x="7"/>
        <item x="152"/>
        <item x="156"/>
        <item x="107"/>
        <item x="1"/>
        <item x="183"/>
        <item x="372"/>
        <item x="189"/>
        <item x="42"/>
        <item x="454"/>
        <item x="449"/>
        <item x="200"/>
        <item x="406"/>
        <item x="49"/>
        <item x="282"/>
        <item x="48"/>
        <item x="83"/>
        <item x="249"/>
        <item x="358"/>
        <item x="125"/>
        <item x="438"/>
        <item x="2"/>
        <item x="82"/>
        <item x="334"/>
        <item x="218"/>
        <item x="313"/>
        <item x="247"/>
        <item x="366"/>
        <item x="219"/>
        <item x="28"/>
        <item x="185"/>
        <item x="86"/>
        <item x="41"/>
        <item x="96"/>
        <item x="115"/>
        <item x="77"/>
        <item x="291"/>
        <item x="163"/>
        <item x="205"/>
        <item x="135"/>
        <item x="47"/>
        <item x="108"/>
        <item x="201"/>
        <item x="8"/>
        <item x="13"/>
        <item x="56"/>
        <item x="181"/>
        <item x="288"/>
        <item x="64"/>
        <item x="241"/>
        <item x="131"/>
        <item x="45"/>
        <item x="123"/>
        <item x="75"/>
        <item x="17"/>
        <item x="53"/>
        <item x="220"/>
        <item x="91"/>
        <item x="228"/>
        <item x="144"/>
        <item x="51"/>
        <item x="280"/>
        <item x="74"/>
        <item x="209"/>
        <item x="62"/>
        <item x="40"/>
        <item x="129"/>
        <item x="415"/>
        <item x="233"/>
        <item x="87"/>
        <item x="295"/>
        <item x="31"/>
        <item x="458"/>
        <item x="179"/>
        <item x="261"/>
        <item x="287"/>
        <item x="34"/>
        <item x="330"/>
        <item x="70"/>
        <item x="168"/>
        <item x="214"/>
        <item x="101"/>
        <item x="284"/>
        <item x="450"/>
        <item x="46"/>
        <item x="204"/>
        <item x="413"/>
        <item x="66"/>
        <item x="27"/>
        <item x="37"/>
        <item x="190"/>
        <item x="323"/>
        <item x="166"/>
        <item x="130"/>
        <item x="238"/>
        <item x="446"/>
        <item x="433"/>
        <item x="122"/>
        <item x="245"/>
        <item x="148"/>
        <item x="325"/>
        <item x="35"/>
        <item x="132"/>
        <item x="22"/>
        <item x="309"/>
        <item x="63"/>
        <item x="297"/>
        <item x="90"/>
        <item x="99"/>
        <item x="370"/>
        <item x="160"/>
        <item x="217"/>
        <item x="178"/>
        <item x="432"/>
        <item x="368"/>
        <item x="169"/>
        <item x="21"/>
        <item x="143"/>
        <item x="127"/>
        <item x="112"/>
        <item x="119"/>
        <item x="187"/>
        <item x="275"/>
        <item x="71"/>
        <item x="356"/>
        <item x="193"/>
        <item x="175"/>
        <item x="234"/>
        <item x="411"/>
        <item x="388"/>
        <item x="182"/>
        <item x="81"/>
        <item x="111"/>
        <item x="290"/>
        <item x="137"/>
        <item x="442"/>
        <item x="289"/>
        <item x="142"/>
        <item x="390"/>
        <item x="456"/>
        <item x="353"/>
        <item x="114"/>
        <item x="365"/>
        <item x="271"/>
        <item x="199"/>
        <item x="106"/>
        <item x="32"/>
        <item x="145"/>
        <item x="98"/>
        <item x="149"/>
        <item x="191"/>
        <item x="109"/>
        <item x="223"/>
        <item x="299"/>
        <item x="5"/>
        <item x="197"/>
        <item x="110"/>
        <item x="296"/>
        <item x="20"/>
        <item x="229"/>
        <item x="26"/>
        <item x="150"/>
        <item x="221"/>
        <item x="225"/>
        <item x="397"/>
        <item x="240"/>
        <item x="258"/>
        <item x="252"/>
        <item x="76"/>
        <item x="120"/>
        <item x="36"/>
        <item x="439"/>
        <item x="50"/>
        <item x="278"/>
        <item x="344"/>
        <item x="424"/>
        <item x="443"/>
        <item x="259"/>
        <item x="308"/>
        <item x="430"/>
        <item x="227"/>
        <item x="367"/>
        <item x="314"/>
        <item x="371"/>
        <item x="448"/>
        <item x="138"/>
        <item x="230"/>
        <item x="384"/>
        <item x="244"/>
        <item x="343"/>
        <item x="429"/>
        <item x="348"/>
        <item x="347"/>
        <item x="272"/>
        <item x="428"/>
        <item x="389"/>
        <item x="404"/>
        <item x="38"/>
        <item x="354"/>
        <item x="293"/>
        <item x="277"/>
        <item x="151"/>
        <item x="231"/>
        <item x="208"/>
        <item x="97"/>
        <item x="338"/>
        <item x="385"/>
        <item x="105"/>
        <item x="317"/>
        <item x="373"/>
        <item x="263"/>
        <item x="236"/>
        <item x="380"/>
        <item x="128"/>
        <item x="418"/>
        <item x="408"/>
        <item x="67"/>
        <item x="391"/>
        <item x="186"/>
        <item x="302"/>
        <item x="180"/>
        <item x="92"/>
        <item x="88"/>
        <item x="23"/>
        <item x="147"/>
        <item x="329"/>
        <item x="78"/>
        <item x="113"/>
        <item x="54"/>
        <item x="216"/>
        <item x="422"/>
        <item x="455"/>
        <item x="310"/>
        <item x="55"/>
        <item x="257"/>
        <item x="84"/>
        <item x="359"/>
        <item x="319"/>
        <item x="294"/>
        <item x="274"/>
        <item x="352"/>
        <item x="80"/>
        <item x="402"/>
        <item x="269"/>
        <item x="341"/>
        <item x="375"/>
        <item x="447"/>
        <item x="104"/>
        <item x="401"/>
        <item x="361"/>
        <item x="158"/>
        <item x="331"/>
        <item x="307"/>
        <item x="431"/>
        <item x="440"/>
        <item x="386"/>
        <item x="235"/>
        <item x="136"/>
        <item x="306"/>
        <item x="170"/>
        <item x="303"/>
        <item x="452"/>
        <item x="315"/>
        <item x="416"/>
        <item x="116"/>
        <item x="316"/>
        <item x="444"/>
        <item x="451"/>
        <item x="403"/>
        <item x="399"/>
        <item x="167"/>
        <item x="188"/>
        <item x="349"/>
        <item x="339"/>
        <item x="139"/>
        <item x="207"/>
        <item x="376"/>
        <item x="350"/>
        <item x="312"/>
        <item x="265"/>
        <item x="332"/>
        <item x="283"/>
        <item x="340"/>
        <item x="328"/>
        <item x="393"/>
        <item x="61"/>
        <item x="226"/>
        <item x="72"/>
        <item x="427"/>
        <item x="133"/>
        <item x="435"/>
        <item x="286"/>
        <item x="250"/>
        <item x="194"/>
        <item x="215"/>
        <item x="453"/>
        <item x="298"/>
        <item x="346"/>
        <item x="336"/>
        <item x="436"/>
        <item x="251"/>
        <item x="425"/>
        <item x="378"/>
        <item x="202"/>
        <item x="335"/>
        <item x="184"/>
        <item x="279"/>
        <item x="242"/>
        <item x="426"/>
        <item x="276"/>
        <item x="206"/>
        <item x="395"/>
        <item x="124"/>
        <item x="243"/>
        <item x="360"/>
        <item x="100"/>
        <item x="213"/>
        <item x="59"/>
        <item x="177"/>
        <item x="211"/>
        <item x="419"/>
        <item x="417"/>
        <item x="237"/>
        <item x="412"/>
        <item x="382"/>
        <item x="60"/>
        <item x="95"/>
        <item x="326"/>
        <item x="337"/>
        <item x="146"/>
        <item x="324"/>
        <item x="381"/>
        <item x="457"/>
        <item x="212"/>
        <item x="121"/>
        <item x="405"/>
        <item x="327"/>
        <item x="398"/>
        <item x="172"/>
        <item x="437"/>
        <item x="423"/>
        <item x="268"/>
        <item x="173"/>
        <item x="164"/>
        <item x="434"/>
        <item x="126"/>
        <item x="421"/>
        <item x="304"/>
        <item x="246"/>
        <item x="345"/>
        <item x="153"/>
        <item x="254"/>
        <item x="292"/>
        <item x="383"/>
        <item x="322"/>
        <item x="392"/>
        <item x="374"/>
        <item x="171"/>
        <item x="262"/>
        <item x="305"/>
        <item x="333"/>
        <item x="161"/>
        <item x="311"/>
        <item x="409"/>
        <item x="65"/>
        <item x="420"/>
        <item x="351"/>
        <item x="273"/>
        <item x="394"/>
        <item x="318"/>
        <item x="301"/>
        <item x="379"/>
        <item x="69"/>
        <item x="255"/>
        <item x="270"/>
        <item x="396"/>
        <item x="196"/>
        <item x="320"/>
        <item x="400"/>
        <item x="410"/>
        <item x="407"/>
        <item x="355"/>
      </items>
    </pivotField>
    <pivotField axis="axisRow" compact="0" outline="0" showAll="0" defaultSubtotal="0">
      <items count="916">
        <item x="763"/>
        <item x="15"/>
        <item x="350"/>
        <item x="274"/>
        <item x="867"/>
        <item x="17"/>
        <item x="331"/>
        <item x="158"/>
        <item x="453"/>
        <item x="84"/>
        <item x="688"/>
        <item x="381"/>
        <item x="913"/>
        <item x="701"/>
        <item x="156"/>
        <item x="210"/>
        <item x="154"/>
        <item x="389"/>
        <item x="616"/>
        <item x="133"/>
        <item x="151"/>
        <item x="753"/>
        <item x="252"/>
        <item x="584"/>
        <item x="747"/>
        <item x="218"/>
        <item x="914"/>
        <item x="677"/>
        <item x="386"/>
        <item x="8"/>
        <item x="912"/>
        <item x="224"/>
        <item x="768"/>
        <item x="351"/>
        <item x="201"/>
        <item x="657"/>
        <item x="150"/>
        <item x="3"/>
        <item x="116"/>
        <item x="277"/>
        <item x="414"/>
        <item x="111"/>
        <item x="733"/>
        <item x="758"/>
        <item x="11"/>
        <item x="830"/>
        <item x="303"/>
        <item x="251"/>
        <item x="112"/>
        <item x="592"/>
        <item x="311"/>
        <item x="177"/>
        <item x="126"/>
        <item x="602"/>
        <item x="378"/>
        <item x="696"/>
        <item x="39"/>
        <item x="713"/>
        <item x="580"/>
        <item x="469"/>
        <item x="147"/>
        <item x="9"/>
        <item x="270"/>
        <item x="174"/>
        <item x="660"/>
        <item x="60"/>
        <item x="668"/>
        <item x="427"/>
        <item x="589"/>
        <item x="597"/>
        <item x="463"/>
        <item x="447"/>
        <item x="757"/>
        <item x="904"/>
        <item x="239"/>
        <item x="127"/>
        <item x="269"/>
        <item x="0"/>
        <item x="667"/>
        <item x="26"/>
        <item x="543"/>
        <item x="466"/>
        <item x="801"/>
        <item x="194"/>
        <item x="687"/>
        <item x="230"/>
        <item x="169"/>
        <item x="880"/>
        <item x="641"/>
        <item x="155"/>
        <item x="18"/>
        <item x="590"/>
        <item x="483"/>
        <item x="897"/>
        <item x="118"/>
        <item x="47"/>
        <item x="544"/>
        <item x="286"/>
        <item x="288"/>
        <item x="476"/>
        <item x="96"/>
        <item x="898"/>
        <item x="30"/>
        <item x="41"/>
        <item x="729"/>
        <item x="273"/>
        <item x="130"/>
        <item x="635"/>
        <item x="275"/>
        <item x="21"/>
        <item x="340"/>
        <item x="860"/>
        <item x="906"/>
        <item x="123"/>
        <item x="452"/>
        <item x="102"/>
        <item x="57"/>
        <item x="136"/>
        <item x="219"/>
        <item x="334"/>
        <item x="179"/>
        <item x="582"/>
        <item x="915"/>
        <item x="730"/>
        <item x="135"/>
        <item x="806"/>
        <item x="249"/>
        <item x="262"/>
        <item x="115"/>
        <item x="43"/>
        <item x="103"/>
        <item x="681"/>
        <item x="907"/>
        <item x="2"/>
        <item x="13"/>
        <item x="692"/>
        <item x="284"/>
        <item x="232"/>
        <item x="679"/>
        <item x="134"/>
        <item x="50"/>
        <item x="34"/>
        <item x="649"/>
        <item x="376"/>
        <item x="364"/>
        <item x="791"/>
        <item x="911"/>
        <item x="207"/>
        <item x="10"/>
        <item x="12"/>
        <item x="313"/>
        <item x="737"/>
        <item x="241"/>
        <item x="892"/>
        <item x="59"/>
        <item x="573"/>
        <item x="234"/>
        <item x="193"/>
        <item x="285"/>
        <item x="691"/>
        <item x="236"/>
        <item x="908"/>
        <item x="611"/>
        <item x="676"/>
        <item x="561"/>
        <item x="643"/>
        <item x="132"/>
        <item x="686"/>
        <item x="442"/>
        <item x="80"/>
        <item x="142"/>
        <item x="272"/>
        <item x="69"/>
        <item x="603"/>
        <item x="315"/>
        <item x="787"/>
        <item x="178"/>
        <item x="352"/>
        <item x="450"/>
        <item x="187"/>
        <item x="5"/>
        <item x="180"/>
        <item x="539"/>
        <item x="27"/>
        <item x="709"/>
        <item x="870"/>
        <item x="216"/>
        <item x="570"/>
        <item x="555"/>
        <item x="166"/>
        <item x="655"/>
        <item x="449"/>
        <item x="515"/>
        <item x="46"/>
        <item x="307"/>
        <item x="625"/>
        <item x="40"/>
        <item x="656"/>
        <item x="607"/>
        <item x="301"/>
        <item x="800"/>
        <item x="192"/>
        <item x="553"/>
        <item x="458"/>
        <item x="623"/>
        <item x="531"/>
        <item x="152"/>
        <item x="811"/>
        <item x="358"/>
        <item x="412"/>
        <item x="564"/>
        <item x="341"/>
        <item x="425"/>
        <item x="545"/>
        <item x="264"/>
        <item x="390"/>
        <item x="887"/>
        <item x="68"/>
        <item x="362"/>
        <item x="537"/>
        <item x="66"/>
        <item x="319"/>
        <item x="574"/>
        <item x="258"/>
        <item x="293"/>
        <item x="75"/>
        <item x="557"/>
        <item x="168"/>
        <item x="538"/>
        <item x="815"/>
        <item x="38"/>
        <item x="842"/>
        <item x="209"/>
        <item x="333"/>
        <item x="182"/>
        <item x="549"/>
        <item x="113"/>
        <item x="738"/>
        <item x="320"/>
        <item x="746"/>
        <item x="619"/>
        <item x="121"/>
        <item x="624"/>
        <item x="413"/>
        <item x="263"/>
        <item x="514"/>
        <item x="431"/>
        <item x="786"/>
        <item x="793"/>
        <item x="253"/>
        <item x="816"/>
        <item x="646"/>
        <item x="857"/>
        <item x="302"/>
        <item x="149"/>
        <item x="256"/>
        <item x="33"/>
        <item x="773"/>
        <item x="328"/>
        <item x="899"/>
        <item x="212"/>
        <item x="229"/>
        <item x="535"/>
        <item x="693"/>
        <item x="778"/>
        <item x="889"/>
        <item x="710"/>
        <item x="397"/>
        <item x="520"/>
        <item x="148"/>
        <item x="296"/>
        <item x="260"/>
        <item x="489"/>
        <item x="107"/>
        <item x="903"/>
        <item x="462"/>
        <item x="569"/>
        <item x="32"/>
        <item x="512"/>
        <item x="88"/>
        <item x="189"/>
        <item x="16"/>
        <item x="637"/>
        <item x="572"/>
        <item x="777"/>
        <item x="140"/>
        <item x="500"/>
        <item x="881"/>
        <item x="429"/>
        <item x="841"/>
        <item x="859"/>
        <item x="363"/>
        <item x="621"/>
        <item x="129"/>
        <item x="853"/>
        <item x="475"/>
        <item x="496"/>
        <item x="593"/>
        <item x="83"/>
        <item x="731"/>
        <item x="306"/>
        <item x="712"/>
        <item x="566"/>
        <item x="902"/>
        <item x="446"/>
        <item x="799"/>
        <item x="440"/>
        <item x="654"/>
        <item x="513"/>
        <item x="473"/>
        <item x="497"/>
        <item x="523"/>
        <item x="671"/>
        <item x="330"/>
        <item x="674"/>
        <item x="542"/>
        <item x="394"/>
        <item x="408"/>
        <item x="756"/>
        <item x="829"/>
        <item x="719"/>
        <item x="346"/>
        <item x="327"/>
        <item x="807"/>
        <item x="822"/>
        <item x="507"/>
        <item x="626"/>
        <item x="146"/>
        <item x="808"/>
        <item x="436"/>
        <item x="444"/>
        <item x="532"/>
        <item x="375"/>
        <item x="359"/>
        <item x="546"/>
        <item x="501"/>
        <item x="826"/>
        <item x="360"/>
        <item x="326"/>
        <item x="810"/>
        <item x="723"/>
        <item x="144"/>
        <item x="356"/>
        <item x="509"/>
        <item x="700"/>
        <item x="711"/>
        <item x="896"/>
        <item x="491"/>
        <item x="421"/>
        <item x="373"/>
        <item x="188"/>
        <item x="653"/>
        <item x="339"/>
        <item x="472"/>
        <item x="682"/>
        <item x="734"/>
        <item x="161"/>
        <item x="366"/>
        <item x="591"/>
        <item x="754"/>
        <item x="289"/>
        <item x="24"/>
        <item x="143"/>
        <item x="508"/>
        <item x="48"/>
        <item x="568"/>
        <item x="770"/>
        <item x="235"/>
        <item x="516"/>
        <item x="443"/>
        <item x="410"/>
        <item x="789"/>
        <item x="197"/>
        <item x="792"/>
        <item x="411"/>
        <item x="295"/>
        <item x="715"/>
        <item x="504"/>
        <item x="98"/>
        <item x="716"/>
        <item x="633"/>
        <item x="348"/>
        <item x="73"/>
        <item x="162"/>
        <item x="290"/>
        <item x="250"/>
        <item x="268"/>
        <item x="725"/>
        <item x="183"/>
        <item x="300"/>
        <item x="53"/>
        <item x="407"/>
        <item x="484"/>
        <item x="305"/>
        <item x="788"/>
        <item x="4"/>
        <item x="254"/>
        <item x="685"/>
        <item x="100"/>
        <item x="780"/>
        <item x="335"/>
        <item x="530"/>
        <item x="231"/>
        <item x="65"/>
        <item x="718"/>
        <item x="211"/>
        <item x="529"/>
        <item x="490"/>
        <item x="95"/>
        <item x="636"/>
        <item x="94"/>
        <item x="401"/>
        <item x="227"/>
        <item x="776"/>
        <item x="184"/>
        <item x="276"/>
        <item x="900"/>
        <item x="689"/>
        <item x="577"/>
        <item x="890"/>
        <item x="727"/>
        <item x="790"/>
        <item x="384"/>
        <item x="836"/>
        <item x="706"/>
        <item x="675"/>
        <item x="714"/>
        <item x="402"/>
        <item x="477"/>
        <item x="468"/>
        <item x="895"/>
        <item x="478"/>
        <item x="418"/>
        <item x="910"/>
        <item x="131"/>
        <item x="587"/>
        <item x="683"/>
        <item x="422"/>
        <item x="610"/>
        <item x="391"/>
        <item x="877"/>
        <item x="820"/>
        <item x="67"/>
        <item x="205"/>
        <item x="803"/>
        <item x="726"/>
        <item x="751"/>
        <item x="817"/>
        <item x="338"/>
        <item x="601"/>
        <item x="620"/>
        <item x="834"/>
        <item x="650"/>
        <item x="736"/>
        <item x="794"/>
        <item x="540"/>
        <item x="884"/>
        <item x="781"/>
        <item x="652"/>
        <item x="505"/>
        <item x="415"/>
        <item x="119"/>
        <item x="506"/>
        <item x="678"/>
        <item x="748"/>
        <item x="503"/>
        <item x="377"/>
        <item x="804"/>
        <item x="585"/>
        <item x="850"/>
        <item x="812"/>
        <item x="704"/>
        <item x="771"/>
        <item x="420"/>
        <item x="464"/>
        <item x="605"/>
        <item x="596"/>
        <item x="534"/>
        <item x="708"/>
        <item x="493"/>
        <item x="865"/>
        <item x="563"/>
        <item x="495"/>
        <item x="93"/>
        <item x="312"/>
        <item x="28"/>
        <item x="291"/>
        <item x="528"/>
        <item x="175"/>
        <item x="243"/>
        <item x="318"/>
        <item x="91"/>
        <item x="191"/>
        <item x="456"/>
        <item x="87"/>
        <item x="196"/>
        <item x="814"/>
        <item x="695"/>
        <item x="279"/>
        <item x="56"/>
        <item x="831"/>
        <item x="465"/>
        <item x="213"/>
        <item x="690"/>
        <item x="52"/>
        <item x="294"/>
        <item x="257"/>
        <item x="198"/>
        <item x="157"/>
        <item x="271"/>
        <item x="837"/>
        <item x="14"/>
        <item x="280"/>
        <item x="818"/>
        <item x="159"/>
        <item x="105"/>
        <item x="396"/>
        <item x="45"/>
        <item x="247"/>
        <item x="55"/>
        <item x="20"/>
        <item x="139"/>
        <item x="172"/>
        <item x="299"/>
        <item x="909"/>
        <item x="245"/>
        <item x="395"/>
        <item x="64"/>
        <item x="661"/>
        <item x="487"/>
        <item x="703"/>
        <item x="215"/>
        <item x="202"/>
        <item x="76"/>
        <item x="838"/>
        <item x="77"/>
        <item x="511"/>
        <item x="170"/>
        <item x="419"/>
        <item x="220"/>
        <item x="1"/>
        <item x="885"/>
        <item x="106"/>
        <item x="813"/>
        <item x="651"/>
        <item x="455"/>
        <item x="783"/>
        <item x="486"/>
        <item x="849"/>
        <item x="797"/>
        <item x="365"/>
        <item x="645"/>
        <item x="522"/>
        <item x="632"/>
        <item x="578"/>
        <item x="19"/>
        <item x="416"/>
        <item x="629"/>
        <item x="223"/>
        <item x="825"/>
        <item x="749"/>
        <item x="832"/>
        <item x="759"/>
        <item x="670"/>
        <item x="846"/>
        <item x="732"/>
        <item x="499"/>
        <item x="316"/>
        <item x="433"/>
        <item x="851"/>
        <item x="760"/>
        <item x="388"/>
        <item x="905"/>
        <item x="658"/>
        <item x="317"/>
        <item x="630"/>
        <item x="798"/>
        <item x="796"/>
        <item x="565"/>
        <item x="724"/>
        <item x="858"/>
        <item x="608"/>
        <item x="665"/>
        <item x="372"/>
        <item x="322"/>
        <item x="526"/>
        <item x="583"/>
        <item x="556"/>
        <item x="524"/>
        <item x="823"/>
        <item x="492"/>
        <item x="795"/>
        <item x="61"/>
        <item x="481"/>
        <item x="474"/>
        <item x="25"/>
        <item x="740"/>
        <item x="36"/>
        <item x="527"/>
        <item x="336"/>
        <item x="642"/>
        <item x="432"/>
        <item x="875"/>
        <item x="342"/>
        <item x="772"/>
        <item x="480"/>
        <item x="217"/>
        <item x="58"/>
        <item x="71"/>
        <item x="839"/>
        <item x="329"/>
        <item x="702"/>
        <item x="74"/>
        <item x="124"/>
        <item x="403"/>
        <item x="203"/>
        <item x="181"/>
        <item x="114"/>
        <item x="878"/>
        <item x="888"/>
        <item x="370"/>
        <item x="606"/>
        <item x="54"/>
        <item x="314"/>
        <item x="387"/>
        <item x="255"/>
        <item x="267"/>
        <item x="321"/>
        <item x="78"/>
        <item x="764"/>
        <item x="345"/>
        <item x="805"/>
        <item x="72"/>
        <item x="648"/>
        <item x="6"/>
        <item x="821"/>
        <item x="89"/>
        <item x="750"/>
        <item x="638"/>
        <item x="886"/>
        <item x="349"/>
        <item x="199"/>
        <item x="595"/>
        <item x="699"/>
        <item x="248"/>
        <item x="547"/>
        <item x="190"/>
        <item x="200"/>
        <item x="51"/>
        <item x="639"/>
        <item x="357"/>
        <item x="325"/>
        <item x="672"/>
        <item x="571"/>
        <item x="893"/>
        <item x="558"/>
        <item x="721"/>
        <item x="536"/>
        <item x="840"/>
        <item x="891"/>
        <item x="659"/>
        <item x="550"/>
        <item x="304"/>
        <item x="221"/>
        <item x="393"/>
        <item x="482"/>
        <item x="876"/>
        <item x="728"/>
        <item x="424"/>
        <item x="579"/>
        <item x="809"/>
        <item x="618"/>
        <item x="819"/>
        <item x="353"/>
        <item x="548"/>
        <item x="382"/>
        <item x="862"/>
        <item x="883"/>
        <item x="435"/>
        <item x="521"/>
        <item x="461"/>
        <item x="824"/>
        <item x="879"/>
        <item x="488"/>
        <item x="854"/>
        <item x="137"/>
        <item x="575"/>
        <item x="208"/>
        <item x="697"/>
        <item x="42"/>
        <item x="165"/>
        <item x="110"/>
        <item x="594"/>
        <item x="92"/>
        <item x="765"/>
        <item x="240"/>
        <item x="308"/>
        <item x="861"/>
        <item x="640"/>
        <item x="226"/>
        <item x="120"/>
        <item x="281"/>
        <item x="104"/>
        <item x="37"/>
        <item x="470"/>
        <item x="762"/>
        <item x="185"/>
        <item x="176"/>
        <item x="292"/>
        <item x="222"/>
        <item x="117"/>
        <item x="214"/>
        <item x="742"/>
        <item x="525"/>
        <item x="337"/>
        <item x="666"/>
        <item x="379"/>
        <item x="282"/>
        <item x="145"/>
        <item x="167"/>
        <item x="847"/>
        <item x="868"/>
        <item x="784"/>
        <item x="371"/>
        <item x="343"/>
        <item x="259"/>
        <item x="617"/>
        <item x="85"/>
        <item x="297"/>
        <item x="29"/>
        <item x="344"/>
        <item x="874"/>
        <item x="471"/>
        <item x="398"/>
        <item x="101"/>
        <item x="774"/>
        <item x="835"/>
        <item x="309"/>
        <item x="614"/>
        <item x="448"/>
        <item x="485"/>
        <item x="752"/>
        <item x="869"/>
        <item x="404"/>
        <item x="454"/>
        <item x="739"/>
        <item x="769"/>
        <item x="559"/>
        <item x="406"/>
        <item x="735"/>
        <item x="581"/>
        <item x="560"/>
        <item x="872"/>
        <item x="204"/>
        <item x="35"/>
        <item x="673"/>
        <item x="662"/>
        <item x="631"/>
        <item x="684"/>
        <item x="171"/>
        <item x="400"/>
        <item x="439"/>
        <item x="153"/>
        <item x="562"/>
        <item x="347"/>
        <item x="498"/>
        <item x="844"/>
        <item x="599"/>
        <item x="86"/>
        <item x="852"/>
        <item x="576"/>
        <item x="242"/>
        <item x="244"/>
        <item x="622"/>
        <item x="361"/>
        <item x="802"/>
        <item x="324"/>
        <item x="755"/>
        <item x="109"/>
        <item x="502"/>
        <item x="856"/>
        <item x="368"/>
        <item x="647"/>
        <item x="81"/>
        <item x="845"/>
        <item x="417"/>
        <item x="163"/>
        <item x="354"/>
        <item x="720"/>
        <item x="873"/>
        <item x="866"/>
        <item x="238"/>
        <item x="261"/>
        <item x="894"/>
        <item x="266"/>
        <item x="233"/>
        <item x="423"/>
        <item x="552"/>
        <item x="669"/>
        <item x="426"/>
        <item x="680"/>
        <item x="459"/>
        <item x="7"/>
        <item x="298"/>
        <item x="90"/>
        <item x="283"/>
        <item x="517"/>
        <item x="567"/>
        <item x="392"/>
        <item x="722"/>
        <item x="767"/>
        <item x="533"/>
        <item x="717"/>
        <item x="173"/>
        <item x="518"/>
        <item x="744"/>
        <item x="225"/>
        <item x="195"/>
        <item x="31"/>
        <item x="586"/>
        <item x="82"/>
        <item x="451"/>
        <item x="383"/>
        <item x="409"/>
        <item x="745"/>
        <item x="588"/>
        <item x="663"/>
        <item x="332"/>
        <item x="604"/>
        <item x="855"/>
        <item x="541"/>
        <item x="434"/>
        <item x="634"/>
        <item x="430"/>
        <item x="694"/>
        <item x="510"/>
        <item x="428"/>
        <item x="615"/>
        <item x="369"/>
        <item x="705"/>
        <item x="125"/>
        <item x="399"/>
        <item x="63"/>
        <item x="44"/>
        <item x="22"/>
        <item x="186"/>
        <item x="138"/>
        <item x="843"/>
        <item x="23"/>
        <item x="323"/>
        <item x="519"/>
        <item x="707"/>
        <item x="164"/>
        <item x="228"/>
        <item x="827"/>
        <item x="467"/>
        <item x="70"/>
        <item x="598"/>
        <item x="160"/>
        <item x="782"/>
        <item x="766"/>
        <item x="848"/>
        <item x="99"/>
        <item x="310"/>
        <item x="901"/>
        <item x="405"/>
        <item x="627"/>
        <item x="600"/>
        <item x="237"/>
        <item x="49"/>
        <item x="613"/>
        <item x="609"/>
        <item x="863"/>
        <item x="743"/>
        <item x="460"/>
        <item x="761"/>
        <item x="551"/>
        <item x="141"/>
        <item x="374"/>
        <item x="355"/>
        <item x="833"/>
        <item x="278"/>
        <item x="380"/>
        <item x="122"/>
        <item x="664"/>
        <item x="206"/>
        <item x="698"/>
        <item x="287"/>
        <item x="554"/>
        <item x="779"/>
        <item x="828"/>
        <item x="457"/>
        <item x="265"/>
        <item x="438"/>
        <item x="437"/>
        <item x="246"/>
        <item x="612"/>
        <item x="367"/>
        <item x="97"/>
        <item x="128"/>
        <item x="385"/>
        <item x="479"/>
        <item x="62"/>
        <item x="79"/>
        <item x="445"/>
        <item x="494"/>
        <item x="871"/>
        <item x="882"/>
        <item x="628"/>
        <item x="741"/>
        <item x="644"/>
        <item x="775"/>
        <item x="785"/>
        <item x="864"/>
        <item x="441"/>
        <item x="108"/>
      </items>
    </pivotField>
    <pivotField axis="axisRow" compact="0" outline="0" showAll="0" sortType="ascending" defaultSubtotal="0">
      <items count="1002">
        <item x="835"/>
        <item x="611"/>
        <item x="377"/>
        <item x="711"/>
        <item x="599"/>
        <item x="797"/>
        <item x="869"/>
        <item x="565"/>
        <item x="212"/>
        <item x="399"/>
        <item x="195"/>
        <item x="18"/>
        <item x="674"/>
        <item x="581"/>
        <item x="1001"/>
        <item x="488"/>
        <item x="67"/>
        <item x="572"/>
        <item x="967"/>
        <item x="623"/>
        <item x="816"/>
        <item x="690"/>
        <item x="783"/>
        <item x="610"/>
        <item x="721"/>
        <item x="239"/>
        <item x="237"/>
        <item x="62"/>
        <item x="798"/>
        <item x="299"/>
        <item x="891"/>
        <item x="448"/>
        <item x="694"/>
        <item x="491"/>
        <item x="324"/>
        <item x="646"/>
        <item x="542"/>
        <item x="418"/>
        <item x="528"/>
        <item x="417"/>
        <item x="659"/>
        <item x="28"/>
        <item x="198"/>
        <item x="916"/>
        <item x="999"/>
        <item x="16"/>
        <item x="450"/>
        <item x="828"/>
        <item x="627"/>
        <item x="723"/>
        <item x="853"/>
        <item x="788"/>
        <item x="573"/>
        <item x="268"/>
        <item x="335"/>
        <item x="890"/>
        <item x="837"/>
        <item x="770"/>
        <item x="974"/>
        <item x="43"/>
        <item x="587"/>
        <item x="671"/>
        <item x="238"/>
        <item x="178"/>
        <item x="992"/>
        <item x="737"/>
        <item x="355"/>
        <item x="509"/>
        <item x="563"/>
        <item x="968"/>
        <item x="766"/>
        <item x="693"/>
        <item x="66"/>
        <item x="314"/>
        <item x="997"/>
        <item x="602"/>
        <item x="223"/>
        <item x="163"/>
        <item x="994"/>
        <item x="953"/>
        <item x="431"/>
        <item x="265"/>
        <item x="269"/>
        <item x="107"/>
        <item x="167"/>
        <item x="122"/>
        <item x="529"/>
        <item x="589"/>
        <item x="440"/>
        <item x="700"/>
        <item x="255"/>
        <item x="523"/>
        <item x="112"/>
        <item x="144"/>
        <item x="6"/>
        <item x="225"/>
        <item x="454"/>
        <item x="413"/>
        <item x="620"/>
        <item x="615"/>
        <item x="663"/>
        <item x="432"/>
        <item x="446"/>
        <item x="194"/>
        <item x="679"/>
        <item x="564"/>
        <item x="188"/>
        <item x="40"/>
        <item x="683"/>
        <item x="614"/>
        <item x="51"/>
        <item x="276"/>
        <item x="298"/>
        <item x="356"/>
        <item x="275"/>
        <item x="36"/>
        <item x="472"/>
        <item x="369"/>
        <item x="317"/>
        <item x="64"/>
        <item x="632"/>
        <item x="922"/>
        <item x="96"/>
        <item x="365"/>
        <item x="155"/>
        <item x="397"/>
        <item x="780"/>
        <item x="628"/>
        <item x="391"/>
        <item x="697"/>
        <item x="15"/>
        <item x="544"/>
        <item x="228"/>
        <item x="871"/>
        <item x="705"/>
        <item x="328"/>
        <item x="753"/>
        <item x="865"/>
        <item x="856"/>
        <item x="263"/>
        <item x="496"/>
        <item x="482"/>
        <item x="650"/>
        <item x="964"/>
        <item x="367"/>
        <item x="629"/>
        <item x="308"/>
        <item x="477"/>
        <item x="180"/>
        <item x="145"/>
        <item x="339"/>
        <item x="101"/>
        <item x="759"/>
        <item x="296"/>
        <item x="562"/>
        <item x="506"/>
        <item x="787"/>
        <item x="836"/>
        <item x="465"/>
        <item x="363"/>
        <item x="443"/>
        <item x="920"/>
        <item x="484"/>
        <item x="716"/>
        <item x="177"/>
        <item x="802"/>
        <item x="176"/>
        <item x="447"/>
        <item x="234"/>
        <item x="668"/>
        <item x="439"/>
        <item x="121"/>
        <item x="571"/>
        <item x="467"/>
        <item x="442"/>
        <item x="162"/>
        <item x="81"/>
        <item x="329"/>
        <item x="983"/>
        <item x="266"/>
        <item x="742"/>
        <item x="185"/>
        <item x="799"/>
        <item x="838"/>
        <item x="480"/>
        <item x="667"/>
        <item x="686"/>
        <item x="110"/>
        <item x="226"/>
        <item x="7"/>
        <item x="57"/>
        <item x="129"/>
        <item x="631"/>
        <item x="458"/>
        <item x="427"/>
        <item x="453"/>
        <item x="415"/>
        <item x="978"/>
        <item x="235"/>
        <item x="307"/>
        <item x="656"/>
        <item x="349"/>
        <item x="80"/>
        <item x="538"/>
        <item x="229"/>
        <item x="557"/>
        <item x="639"/>
        <item x="915"/>
        <item x="921"/>
        <item x="12"/>
        <item x="751"/>
        <item x="160"/>
        <item x="217"/>
        <item x="8"/>
        <item x="781"/>
        <item x="709"/>
        <item x="771"/>
        <item x="807"/>
        <item x="161"/>
        <item x="660"/>
        <item x="106"/>
        <item x="785"/>
        <item x="605"/>
        <item x="148"/>
        <item x="192"/>
        <item x="749"/>
        <item x="782"/>
        <item x="205"/>
        <item x="319"/>
        <item x="823"/>
        <item x="495"/>
        <item x="37"/>
        <item x="55"/>
        <item x="249"/>
        <item x="386"/>
        <item x="485"/>
        <item x="291"/>
        <item x="347"/>
        <item x="661"/>
        <item x="520"/>
        <item x="825"/>
        <item x="598"/>
        <item x="109"/>
        <item x="264"/>
        <item x="290"/>
        <item x="675"/>
        <item x="306"/>
        <item x="502"/>
        <item x="322"/>
        <item x="316"/>
        <item x="227"/>
        <item x="789"/>
        <item x="945"/>
        <item x="507"/>
        <item x="568"/>
        <item x="206"/>
        <item x="903"/>
        <item x="208"/>
        <item x="47"/>
        <item x="621"/>
        <item x="948"/>
        <item x="762"/>
        <item x="146"/>
        <item x="361"/>
        <item x="1000"/>
        <item x="468"/>
        <item x="108"/>
        <item x="510"/>
        <item x="199"/>
        <item x="392"/>
        <item x="387"/>
        <item x="295"/>
        <item x="772"/>
        <item x="73"/>
        <item x="104"/>
        <item x="50"/>
        <item x="824"/>
        <item x="396"/>
        <item x="582"/>
        <item x="117"/>
        <item x="898"/>
        <item x="152"/>
        <item x="254"/>
        <item x="989"/>
        <item x="951"/>
        <item x="242"/>
        <item x="622"/>
        <item x="197"/>
        <item x="769"/>
        <item x="423"/>
        <item x="362"/>
        <item x="513"/>
        <item x="928"/>
        <item x="476"/>
        <item x="52"/>
        <item x="172"/>
        <item x="321"/>
        <item x="26"/>
        <item x="70"/>
        <item x="939"/>
        <item x="13"/>
        <item x="385"/>
        <item x="971"/>
        <item x="243"/>
        <item x="547"/>
        <item x="216"/>
        <item x="731"/>
        <item x="3"/>
        <item x="374"/>
        <item x="937"/>
        <item x="876"/>
        <item x="712"/>
        <item x="408"/>
        <item x="566"/>
        <item x="975"/>
        <item x="746"/>
        <item x="300"/>
        <item x="827"/>
        <item x="32"/>
        <item x="846"/>
        <item x="791"/>
        <item x="424"/>
        <item x="220"/>
        <item x="213"/>
        <item x="738"/>
        <item x="455"/>
        <item x="933"/>
        <item x="635"/>
        <item x="182"/>
        <item x="962"/>
        <item x="755"/>
        <item x="606"/>
        <item x="105"/>
        <item x="224"/>
        <item x="908"/>
        <item x="233"/>
        <item x="19"/>
        <item x="30"/>
        <item x="867"/>
        <item x="487"/>
        <item x="840"/>
        <item x="936"/>
        <item x="259"/>
        <item x="942"/>
        <item x="127"/>
        <item x="27"/>
        <item x="858"/>
        <item x="678"/>
        <item x="419"/>
        <item x="354"/>
        <item x="273"/>
        <item x="420"/>
        <item x="905"/>
        <item x="578"/>
        <item x="341"/>
        <item x="98"/>
        <item x="287"/>
        <item x="625"/>
        <item x="139"/>
        <item x="585"/>
        <item x="927"/>
        <item x="102"/>
        <item x="183"/>
        <item x="493"/>
        <item x="760"/>
        <item x="23"/>
        <item x="844"/>
        <item x="68"/>
        <item x="261"/>
        <item x="657"/>
        <item x="973"/>
        <item x="164"/>
        <item x="522"/>
        <item x="986"/>
        <item x="301"/>
        <item x="135"/>
        <item x="676"/>
        <item x="471"/>
        <item x="65"/>
        <item x="729"/>
        <item x="624"/>
        <item x="404"/>
        <item x="588"/>
        <item x="894"/>
        <item x="340"/>
        <item x="360"/>
        <item x="833"/>
        <item x="315"/>
        <item x="483"/>
        <item x="115"/>
        <item x="726"/>
        <item x="977"/>
        <item x="345"/>
        <item x="739"/>
        <item x="795"/>
        <item x="917"/>
        <item x="375"/>
        <item x="461"/>
        <item x="278"/>
        <item x="822"/>
        <item x="773"/>
        <item x="478"/>
        <item x="168"/>
        <item x="855"/>
        <item x="45"/>
        <item x="699"/>
        <item x="2"/>
        <item x="430"/>
        <item x="809"/>
        <item x="113"/>
        <item x="189"/>
        <item x="707"/>
        <item x="689"/>
        <item x="658"/>
        <item x="952"/>
        <item x="733"/>
        <item x="256"/>
        <item x="69"/>
        <item x="58"/>
        <item x="603"/>
        <item x="232"/>
        <item x="221"/>
        <item x="91"/>
        <item x="559"/>
        <item x="119"/>
        <item x="100"/>
        <item x="82"/>
        <item x="59"/>
        <item x="282"/>
        <item x="384"/>
        <item x="125"/>
        <item x="558"/>
        <item x="586"/>
        <item x="175"/>
        <item x="651"/>
        <item x="157"/>
        <item x="725"/>
        <item x="636"/>
        <item x="949"/>
        <item x="692"/>
        <item x="811"/>
        <item x="326"/>
        <item x="514"/>
        <item x="834"/>
        <item x="123"/>
        <item x="613"/>
        <item x="526"/>
        <item x="996"/>
        <item x="612"/>
        <item x="847"/>
        <item x="800"/>
        <item x="981"/>
        <item x="966"/>
        <item x="806"/>
        <item x="691"/>
        <item x="843"/>
        <item x="437"/>
        <item x="998"/>
        <item x="334"/>
        <item x="93"/>
        <item x="21"/>
        <item x="486"/>
        <item x="813"/>
        <item x="845"/>
        <item x="236"/>
        <item x="186"/>
        <item x="720"/>
        <item x="207"/>
        <item x="745"/>
        <item x="75"/>
        <item x="925"/>
        <item x="405"/>
        <item x="604"/>
        <item x="406"/>
        <item x="33"/>
        <item x="150"/>
        <item x="460"/>
        <item x="165"/>
        <item x="860"/>
        <item x="727"/>
        <item x="294"/>
        <item x="609"/>
        <item x="779"/>
        <item x="680"/>
        <item x="87"/>
        <item x="343"/>
        <item x="257"/>
        <item x="342"/>
        <item x="401"/>
        <item x="900"/>
        <item x="272"/>
        <item x="741"/>
        <item x="364"/>
        <item x="767"/>
        <item x="288"/>
        <item x="718"/>
        <item x="830"/>
        <item x="214"/>
        <item x="283"/>
        <item x="490"/>
        <item x="616"/>
        <item x="607"/>
        <item x="740"/>
        <item x="210"/>
        <item x="169"/>
        <item x="436"/>
        <item x="804"/>
        <item x="497"/>
        <item x="638"/>
        <item x="768"/>
        <item x="543"/>
        <item x="553"/>
        <item x="138"/>
        <item x="41"/>
        <item x="270"/>
        <item x="38"/>
        <item x="452"/>
        <item x="777"/>
        <item x="958"/>
        <item x="248"/>
        <item x="444"/>
        <item x="473"/>
        <item x="901"/>
        <item x="373"/>
        <item x="533"/>
        <item x="86"/>
        <item x="359"/>
        <item x="883"/>
        <item x="653"/>
        <item x="519"/>
        <item x="820"/>
        <item x="896"/>
        <item x="393"/>
        <item x="734"/>
        <item x="433"/>
        <item x="593"/>
        <item x="346"/>
        <item x="337"/>
        <item x="601"/>
        <item x="222"/>
        <item x="518"/>
        <item x="868"/>
        <item x="792"/>
        <item x="407"/>
        <item x="44"/>
        <item x="521"/>
        <item x="919"/>
        <item x="600"/>
        <item x="318"/>
        <item x="219"/>
        <item x="672"/>
        <item x="421"/>
        <item x="267"/>
        <item x="142"/>
        <item x="551"/>
        <item x="333"/>
        <item x="511"/>
        <item x="957"/>
        <item x="872"/>
        <item x="756"/>
        <item x="143"/>
        <item x="358"/>
        <item x="464"/>
        <item x="253"/>
        <item x="111"/>
        <item x="719"/>
        <item x="630"/>
        <item x="645"/>
        <item x="748"/>
        <item x="863"/>
        <item x="669"/>
        <item x="950"/>
        <item x="710"/>
        <item x="574"/>
        <item x="4"/>
        <item x="670"/>
        <item x="907"/>
        <item x="652"/>
        <item x="684"/>
        <item x="403"/>
        <item x="469"/>
        <item x="556"/>
        <item x="776"/>
        <item x="252"/>
        <item x="819"/>
        <item x="591"/>
        <item x="0"/>
        <item x="281"/>
        <item x="688"/>
        <item x="784"/>
        <item x="159"/>
        <item x="918"/>
        <item x="351"/>
        <item x="304"/>
        <item x="463"/>
        <item x="118"/>
        <item x="579"/>
        <item x="280"/>
        <item x="434"/>
        <item x="987"/>
        <item x="695"/>
        <item x="380"/>
        <item x="595"/>
        <item x="409"/>
        <item x="327"/>
        <item x="961"/>
        <item x="590"/>
        <item x="246"/>
        <item x="730"/>
        <item x="906"/>
        <item x="944"/>
        <item x="560"/>
        <item x="744"/>
        <item x="995"/>
        <item x="313"/>
        <item x="494"/>
        <item x="972"/>
        <item x="808"/>
        <item x="567"/>
        <item x="309"/>
        <item x="449"/>
        <item x="596"/>
        <item x="338"/>
        <item x="842"/>
        <item x="153"/>
        <item x="954"/>
        <item x="202"/>
        <item x="171"/>
        <item x="39"/>
        <item x="348"/>
        <item x="534"/>
        <item x="555"/>
        <item x="706"/>
        <item x="357"/>
        <item x="940"/>
        <item x="736"/>
        <item x="274"/>
        <item x="550"/>
        <item x="889"/>
        <item x="735"/>
        <item x="372"/>
        <item x="285"/>
        <item x="899"/>
        <item x="654"/>
        <item x="492"/>
        <item x="258"/>
        <item x="882"/>
        <item x="814"/>
        <item x="498"/>
        <item x="887"/>
        <item x="535"/>
        <item x="991"/>
        <item x="849"/>
        <item x="441"/>
        <item x="794"/>
        <item x="930"/>
        <item x="173"/>
        <item x="156"/>
        <item x="881"/>
        <item x="584"/>
        <item x="149"/>
        <item x="841"/>
        <item x="136"/>
        <item x="303"/>
        <item x="546"/>
        <item x="764"/>
        <item x="774"/>
        <item x="852"/>
        <item x="383"/>
        <item x="388"/>
        <item x="390"/>
        <item x="715"/>
        <item x="704"/>
        <item x="909"/>
        <item x="402"/>
        <item x="451"/>
        <item x="410"/>
        <item x="790"/>
        <item x="366"/>
        <item x="470"/>
        <item x="763"/>
        <item x="320"/>
        <item x="515"/>
        <item x="344"/>
        <item x="99"/>
        <item x="336"/>
        <item x="778"/>
        <item x="200"/>
        <item x="592"/>
        <item x="218"/>
        <item x="1"/>
        <item x="311"/>
        <item x="775"/>
        <item x="512"/>
        <item x="912"/>
        <item x="53"/>
        <item x="722"/>
        <item x="209"/>
        <item x="95"/>
        <item x="74"/>
        <item x="801"/>
        <item x="955"/>
        <item x="61"/>
        <item x="147"/>
        <item x="174"/>
        <item x="54"/>
        <item x="655"/>
        <item x="576"/>
        <item x="9"/>
        <item x="941"/>
        <item x="5"/>
        <item x="325"/>
        <item x="42"/>
        <item x="151"/>
        <item x="302"/>
        <item x="818"/>
        <item x="862"/>
        <item x="422"/>
        <item x="381"/>
        <item x="861"/>
        <item x="703"/>
        <item x="10"/>
        <item x="681"/>
        <item x="666"/>
        <item x="946"/>
        <item x="583"/>
        <item x="911"/>
        <item x="664"/>
        <item x="866"/>
        <item x="637"/>
        <item x="914"/>
        <item x="554"/>
        <item x="854"/>
        <item x="382"/>
        <item x="888"/>
        <item x="913"/>
        <item x="633"/>
        <item x="230"/>
        <item x="517"/>
        <item x="960"/>
        <item x="698"/>
        <item x="540"/>
        <item x="524"/>
        <item x="708"/>
        <item x="805"/>
        <item x="757"/>
        <item x="411"/>
        <item x="910"/>
        <item x="577"/>
        <item x="580"/>
        <item x="459"/>
        <item x="702"/>
        <item x="662"/>
        <item x="286"/>
        <item x="352"/>
        <item x="724"/>
        <item x="240"/>
        <item x="549"/>
        <item x="501"/>
        <item x="525"/>
        <item x="428"/>
        <item x="530"/>
        <item x="870"/>
        <item x="988"/>
        <item x="34"/>
        <item x="886"/>
        <item x="880"/>
        <item x="879"/>
        <item x="20"/>
        <item x="993"/>
        <item x="489"/>
        <item x="897"/>
        <item x="378"/>
        <item x="743"/>
        <item x="732"/>
        <item x="284"/>
        <item x="126"/>
        <item x="412"/>
        <item x="505"/>
        <item x="203"/>
        <item x="750"/>
        <item x="893"/>
        <item x="696"/>
        <item x="31"/>
        <item x="641"/>
        <item x="97"/>
        <item x="394"/>
        <item x="184"/>
        <item x="94"/>
        <item x="924"/>
        <item x="873"/>
        <item x="677"/>
        <item x="193"/>
        <item x="187"/>
        <item x="874"/>
        <item x="466"/>
        <item x="829"/>
        <item x="414"/>
        <item x="271"/>
        <item x="85"/>
        <item x="747"/>
        <item x="77"/>
        <item x="92"/>
        <item x="244"/>
        <item x="713"/>
        <item x="982"/>
        <item x="786"/>
        <item x="687"/>
        <item x="531"/>
        <item x="481"/>
        <item x="796"/>
        <item x="250"/>
        <item x="539"/>
        <item x="970"/>
        <item x="438"/>
        <item x="717"/>
        <item x="826"/>
        <item x="850"/>
        <item x="649"/>
        <item x="293"/>
        <item x="884"/>
        <item x="570"/>
        <item x="926"/>
        <item x="803"/>
        <item x="857"/>
        <item x="120"/>
        <item x="985"/>
        <item x="892"/>
        <item x="938"/>
        <item x="323"/>
        <item x="761"/>
        <item x="245"/>
        <item x="133"/>
        <item x="368"/>
        <item x="931"/>
        <item x="934"/>
        <item x="821"/>
        <item x="817"/>
        <item x="462"/>
        <item x="575"/>
        <item x="350"/>
        <item x="435"/>
        <item x="929"/>
        <item x="78"/>
        <item x="935"/>
        <item x="504"/>
        <item x="292"/>
        <item x="429"/>
        <item x="211"/>
        <item x="864"/>
        <item x="859"/>
        <item x="758"/>
        <item x="201"/>
        <item x="132"/>
        <item x="247"/>
        <item x="626"/>
        <item x="204"/>
        <item x="231"/>
        <item x="88"/>
        <item x="848"/>
        <item x="116"/>
        <item x="140"/>
        <item x="569"/>
        <item x="60"/>
        <item x="425"/>
        <item x="297"/>
        <item x="83"/>
        <item x="76"/>
        <item x="976"/>
        <item x="527"/>
        <item x="885"/>
        <item x="103"/>
        <item x="980"/>
        <item x="474"/>
        <item x="479"/>
        <item x="503"/>
        <item x="508"/>
        <item x="532"/>
        <item x="647"/>
        <item x="370"/>
        <item x="839"/>
        <item x="548"/>
        <item x="640"/>
        <item x="752"/>
        <item x="634"/>
        <item x="877"/>
        <item x="644"/>
        <item x="701"/>
        <item x="608"/>
        <item x="561"/>
        <item x="312"/>
        <item x="379"/>
        <item x="84"/>
        <item x="457"/>
        <item x="279"/>
        <item x="63"/>
        <item x="179"/>
        <item x="25"/>
        <item x="154"/>
        <item x="552"/>
        <item x="516"/>
        <item x="114"/>
        <item x="79"/>
        <item x="310"/>
        <item x="128"/>
        <item x="90"/>
        <item x="11"/>
        <item x="24"/>
        <item x="851"/>
        <item x="29"/>
        <item x="166"/>
        <item x="56"/>
        <item x="990"/>
        <item x="594"/>
        <item x="215"/>
        <item x="251"/>
        <item x="904"/>
        <item x="49"/>
        <item x="241"/>
        <item x="72"/>
        <item x="812"/>
        <item x="48"/>
        <item x="305"/>
        <item x="35"/>
        <item x="277"/>
        <item x="943"/>
        <item x="398"/>
        <item x="947"/>
        <item x="831"/>
        <item x="754"/>
        <item x="810"/>
        <item x="875"/>
        <item x="815"/>
        <item x="956"/>
        <item x="963"/>
        <item x="371"/>
        <item x="648"/>
        <item x="445"/>
        <item x="376"/>
        <item x="923"/>
        <item x="456"/>
        <item x="984"/>
        <item x="793"/>
        <item x="89"/>
        <item x="765"/>
        <item x="642"/>
        <item x="130"/>
        <item x="728"/>
        <item x="969"/>
        <item x="262"/>
        <item x="682"/>
        <item x="541"/>
        <item x="353"/>
        <item x="619"/>
        <item x="330"/>
        <item x="400"/>
        <item x="426"/>
        <item x="965"/>
        <item x="685"/>
        <item x="389"/>
        <item x="14"/>
        <item x="902"/>
        <item x="959"/>
        <item x="191"/>
        <item x="618"/>
        <item x="878"/>
        <item x="597"/>
        <item x="895"/>
        <item x="71"/>
        <item x="332"/>
        <item x="500"/>
        <item x="832"/>
        <item x="395"/>
        <item x="131"/>
        <item x="536"/>
        <item x="181"/>
        <item x="46"/>
        <item x="22"/>
        <item x="124"/>
        <item x="190"/>
        <item x="289"/>
        <item x="643"/>
        <item x="331"/>
        <item x="260"/>
        <item x="673"/>
        <item x="979"/>
        <item x="158"/>
        <item x="196"/>
        <item x="137"/>
        <item x="170"/>
        <item x="141"/>
        <item x="499"/>
        <item x="714"/>
        <item x="537"/>
        <item x="665"/>
        <item x="134"/>
        <item x="617"/>
        <item x="545"/>
        <item x="932"/>
        <item x="475"/>
        <item x="416"/>
        <item x="17"/>
      </items>
    </pivotField>
    <pivotField compact="0" outline="0" showAll="0" defaultSubtotal="0"/>
  </pivotFields>
  <rowFields count="7">
    <field x="1"/>
    <field x="0"/>
    <field x="7"/>
    <field x="6"/>
    <field x="10"/>
    <field x="11"/>
    <field x="12"/>
  </rowFields>
  <rowItems count="92">
    <i>
      <x v="14"/>
      <x v="13"/>
      <x v="518"/>
      <x v="140"/>
      <x v="25"/>
      <x v="381"/>
      <x v="344"/>
    </i>
    <i>
      <x v="42"/>
      <x v="42"/>
      <x v="606"/>
      <x v="36"/>
      <x v="352"/>
      <x v="39"/>
      <x v="641"/>
    </i>
    <i>
      <x v="53"/>
      <x v="40"/>
      <x v="634"/>
      <x v="35"/>
      <x v="45"/>
      <x v="402"/>
      <x v="983"/>
    </i>
    <i>
      <x v="61"/>
      <x v="60"/>
      <x v="677"/>
      <x v="240"/>
      <x v="192"/>
      <x v="260"/>
      <x v="549"/>
    </i>
    <i>
      <x v="84"/>
      <x v="83"/>
      <x v="688"/>
      <x v="204"/>
      <x v="114"/>
      <x v="532"/>
      <x v="697"/>
    </i>
    <i>
      <x v="95"/>
      <x v="94"/>
      <x v="450"/>
      <x v="23"/>
      <x v="358"/>
      <x v="733"/>
      <x v="746"/>
    </i>
    <i>
      <x v="118"/>
      <x v="119"/>
      <x v="621"/>
      <x v="264"/>
      <x v="21"/>
      <x v="244"/>
      <x v="490"/>
    </i>
    <i>
      <x v="133"/>
      <x v="132"/>
      <x v="637"/>
      <x v="93"/>
      <x v="155"/>
      <x v="759"/>
      <x v="486"/>
    </i>
    <i>
      <x v="136"/>
      <x v="135"/>
      <x v="581"/>
      <x v="95"/>
      <x v="32"/>
      <x v="487"/>
      <x v="637"/>
    </i>
    <i>
      <x v="141"/>
      <x v="140"/>
      <x v="656"/>
      <x v="39"/>
      <x v="8"/>
      <x v="137"/>
      <x v="25"/>
    </i>
    <i>
      <x v="158"/>
      <x v="157"/>
      <x v="609"/>
      <x v="14"/>
      <x v="162"/>
      <x v="3"/>
      <x v="498"/>
    </i>
    <i>
      <x v="163"/>
      <x v="162"/>
      <x v="651"/>
      <x v="253"/>
      <x v="207"/>
      <x v="868"/>
      <x v="803"/>
    </i>
    <i>
      <x v="182"/>
      <x v="181"/>
      <x v="436"/>
      <x v="287"/>
      <x v="117"/>
      <x v="748"/>
      <x v="37"/>
    </i>
    <i>
      <x v="190"/>
      <x v="189"/>
      <x v="473"/>
      <x v="1"/>
      <x v="32"/>
      <x v="11"/>
      <x v="269"/>
    </i>
    <i>
      <x v="216"/>
      <x v="215"/>
      <x v="583"/>
      <x v="40"/>
      <x v="166"/>
      <x v="505"/>
      <x v="593"/>
    </i>
    <i>
      <x v="226"/>
      <x v="225"/>
      <x v="603"/>
      <x v="194"/>
      <x v="32"/>
      <x v="512"/>
      <x v="356"/>
    </i>
    <i>
      <x v="252"/>
      <x v="251"/>
      <x v="595"/>
      <x v="176"/>
      <x v="30"/>
      <x v="511"/>
      <x v="480"/>
    </i>
    <i>
      <x v="264"/>
      <x v="262"/>
      <x v="511"/>
      <x v="173"/>
      <x v="36"/>
      <x v="673"/>
      <x v="159"/>
    </i>
    <i>
      <x v="274"/>
      <x v="273"/>
      <x v="618"/>
      <x v="100"/>
      <x v="76"/>
      <x v="794"/>
      <x v="636"/>
    </i>
    <i>
      <x v="283"/>
      <x v="282"/>
      <x v="528"/>
      <x v="232"/>
      <x v="238"/>
      <x v="110"/>
      <x v="840"/>
    </i>
    <i>
      <x v="299"/>
      <x v="298"/>
      <x v="640"/>
      <x v="2"/>
      <x v="114"/>
      <x v="518"/>
      <x v="282"/>
    </i>
    <i>
      <x v="321"/>
      <x v="320"/>
      <x v="451"/>
      <x v="198"/>
      <x v="91"/>
      <x v="267"/>
      <x v="676"/>
    </i>
    <i>
      <x v="324"/>
      <x v="323"/>
      <x v="639"/>
      <x v="136"/>
      <x v="111"/>
      <x v="644"/>
      <x v="90"/>
    </i>
    <i>
      <x v="337"/>
      <x v="336"/>
      <x v="645"/>
      <x v="31"/>
      <x v="295"/>
      <x v="489"/>
      <x v="811"/>
    </i>
    <i>
      <x v="351"/>
      <x v="349"/>
      <x v="673"/>
      <x v="277"/>
      <x v="4"/>
      <x v="186"/>
      <x v="76"/>
    </i>
    <i>
      <x v="370"/>
      <x v="367"/>
      <x v="628"/>
      <x v="99"/>
      <x v="32"/>
      <x v="255"/>
      <x v="81"/>
    </i>
    <i>
      <x v="379"/>
      <x v="377"/>
      <x v="527"/>
      <x v="10"/>
      <x v="32"/>
      <x v="211"/>
      <x v="592"/>
    </i>
    <i>
      <x v="381"/>
      <x v="379"/>
      <x v="566"/>
      <x v="151"/>
      <x v="263"/>
      <x v="737"/>
      <x v="681"/>
    </i>
    <i>
      <x v="384"/>
      <x v="382"/>
      <x v="650"/>
      <x v="179"/>
      <x v="193"/>
      <x v="791"/>
      <x v="831"/>
    </i>
    <i>
      <x v="386"/>
      <x v="385"/>
      <x v="412"/>
      <x v="266"/>
      <x v="32"/>
      <x v="473"/>
      <x v="80"/>
    </i>
    <i>
      <x v="403"/>
      <x v="402"/>
      <x v="498"/>
      <x v="280"/>
      <x v="287"/>
      <x v="774"/>
      <x v="640"/>
    </i>
    <i>
      <x v="406"/>
      <x v="405"/>
      <x v="465"/>
      <x v="26"/>
      <x v="386"/>
      <x v="900"/>
      <x v="926"/>
    </i>
    <i>
      <x v="425"/>
      <x v="424"/>
      <x v="483"/>
      <x v="17"/>
      <x v="40"/>
      <x v="349"/>
      <x v="429"/>
    </i>
    <i>
      <x v="431"/>
      <x v="430"/>
      <x v="461"/>
      <x v="214"/>
      <x v="118"/>
      <x v="571"/>
      <x v="488"/>
    </i>
    <i>
      <x v="433"/>
      <x v="432"/>
      <x v="425"/>
      <x v="159"/>
      <x v="72"/>
      <x v="374"/>
      <x v="289"/>
    </i>
    <i>
      <x v="436"/>
      <x v="435"/>
      <x v="509"/>
      <x v="196"/>
      <x v="114"/>
      <x v="787"/>
      <x v="123"/>
    </i>
    <i>
      <x v="458"/>
      <x v="457"/>
      <x v="479"/>
      <x v="54"/>
      <x v="270"/>
      <x v="466"/>
      <x v="669"/>
    </i>
    <i>
      <x v="484"/>
      <x v="483"/>
      <x v="663"/>
      <x v="71"/>
      <x v="203"/>
      <x v="816"/>
      <x v="420"/>
    </i>
    <i>
      <x v="485"/>
      <x v="484"/>
      <x v="490"/>
      <x v="241"/>
      <x v="96"/>
      <x v="357"/>
      <x v="2"/>
    </i>
    <i>
      <x v="495"/>
      <x v="494"/>
      <x v="551"/>
      <x v="109"/>
      <x v="242"/>
      <x v="849"/>
      <x v="555"/>
    </i>
    <i>
      <x v="502"/>
      <x v="503"/>
      <x v="454"/>
      <x v="218"/>
      <x v="138"/>
      <x v="526"/>
      <x v="312"/>
    </i>
    <i>
      <x v="504"/>
      <x v="505"/>
      <x v="464"/>
      <x v="88"/>
      <x v="32"/>
      <x v="80"/>
      <x v="105"/>
    </i>
    <i>
      <x v="514"/>
      <x v="515"/>
      <x v="524"/>
      <x v="82"/>
      <x v="244"/>
      <x v="724"/>
      <x v="349"/>
    </i>
    <i>
      <x v="531"/>
      <x v="530"/>
      <x v="660"/>
      <x v="152"/>
      <x v="16"/>
      <x v="853"/>
      <x v="198"/>
    </i>
    <i>
      <x v="538"/>
      <x v="537"/>
      <x v="453"/>
      <x v="59"/>
      <x v="74"/>
      <x v="516"/>
      <x v="603"/>
    </i>
    <i>
      <x v="541"/>
      <x v="540"/>
      <x v="492"/>
      <x v="161"/>
      <x v="24"/>
      <x v="144"/>
      <x v="396"/>
    </i>
    <i>
      <x v="554"/>
      <x v="554"/>
      <x v="440"/>
      <x v="169"/>
      <x v="70"/>
      <x v="645"/>
      <x v="862"/>
    </i>
    <i>
      <x v="555"/>
      <x v="555"/>
      <x v="497"/>
      <x v="237"/>
      <x v="95"/>
      <x v="219"/>
      <x v="431"/>
    </i>
    <i>
      <x v="556"/>
      <x v="556"/>
      <x v="675"/>
      <x v="130"/>
      <x v="336"/>
      <x v="711"/>
      <x v="421"/>
    </i>
    <i>
      <x v="641"/>
      <x v="640"/>
      <x v="428"/>
      <x v="66"/>
      <x v="28"/>
      <x v="823"/>
      <x v="551"/>
    </i>
    <i>
      <x v="659"/>
      <x v="658"/>
      <x v="540"/>
      <x v="234"/>
      <x v="30"/>
      <x v="6"/>
      <x v="560"/>
    </i>
    <i>
      <x v="683"/>
      <x v="682"/>
      <x v="671"/>
      <x v="172"/>
      <x v="4"/>
      <x v="25"/>
      <x v="95"/>
    </i>
    <i>
      <x v="715"/>
      <x v="714"/>
      <x v="463"/>
      <x v="252"/>
      <x v="76"/>
      <x v="28"/>
      <x v="9"/>
    </i>
    <i>
      <x v="717"/>
      <x v="716"/>
      <x v="579"/>
      <x v="75"/>
      <x v="32"/>
      <x v="270"/>
      <x v="199"/>
    </i>
    <i>
      <x v="749"/>
      <x v="749"/>
      <x v="512"/>
      <x v="81"/>
      <x v="12"/>
      <x v="384"/>
      <x v="290"/>
    </i>
    <i>
      <x v="751"/>
      <x v="751"/>
      <x v="600"/>
      <x v="24"/>
      <x v="38"/>
      <x v="805"/>
      <x v="244"/>
    </i>
    <i>
      <x v="773"/>
      <x v="773"/>
      <x v="670"/>
      <x v="133"/>
      <x v="4"/>
      <x v="118"/>
      <x v="188"/>
    </i>
    <i>
      <x v="780"/>
      <x v="780"/>
      <x v="679"/>
      <x v="5"/>
      <x v="8"/>
      <x v="15"/>
      <x v="212"/>
    </i>
    <i>
      <x v="795"/>
      <x v="795"/>
      <x v="601"/>
      <x v="13"/>
      <x v="118"/>
      <x v="717"/>
      <x v="980"/>
    </i>
    <i>
      <x v="802"/>
      <x v="802"/>
      <x v="661"/>
      <x v="22"/>
      <x v="24"/>
      <x v="412"/>
      <x v="168"/>
    </i>
    <i>
      <x v="850"/>
      <x v="850"/>
      <x v="515"/>
      <x v="116"/>
      <x v="311"/>
      <x v="2"/>
      <x v="526"/>
    </i>
    <i>
      <x v="880"/>
      <x v="881"/>
      <x v="410"/>
      <x v="217"/>
      <x v="234"/>
      <x v="881"/>
      <x v="101"/>
    </i>
    <i>
      <x v="893"/>
      <x v="894"/>
      <x v="529"/>
      <x v="213"/>
      <x v="377"/>
      <x v="352"/>
      <x v="1001"/>
    </i>
    <i>
      <x v="897"/>
      <x v="898"/>
      <x v="560"/>
      <x v="281"/>
      <x v="204"/>
      <x v="174"/>
      <x v="441"/>
    </i>
    <i>
      <x v="913"/>
      <x v="914"/>
      <x v="593"/>
      <x v="49"/>
      <x v="371"/>
      <x v="44"/>
      <x v="153"/>
    </i>
    <i>
      <x v="924"/>
      <x v="925"/>
      <x v="443"/>
      <x v="293"/>
      <x v="152"/>
      <x v="614"/>
      <x v="196"/>
    </i>
    <i>
      <x v="928"/>
      <x v="929"/>
      <x v="664"/>
      <x v="165"/>
      <x v="57"/>
      <x v="31"/>
      <x v="857"/>
    </i>
    <i>
      <x v="936"/>
      <x v="937"/>
      <x v="458"/>
      <x v="52"/>
      <x v="32"/>
      <x v="439"/>
      <x v="381"/>
    </i>
    <i>
      <x v="937"/>
      <x v="938"/>
      <x v="577"/>
      <x v="11"/>
      <x v="44"/>
      <x v="803"/>
      <x v="619"/>
    </i>
    <i>
      <x v="988"/>
      <x v="989"/>
      <x v="434"/>
      <x v="142"/>
      <x v="32"/>
      <x v="235"/>
      <x v="172"/>
    </i>
    <i>
      <x v="995"/>
      <x v="995"/>
      <x v="647"/>
      <x v="122"/>
      <x v="37"/>
      <x v="152"/>
      <x v="519"/>
    </i>
    <i>
      <x v="1003"/>
      <x v="1004"/>
      <x v="681"/>
      <x v="279"/>
      <x v="347"/>
      <x v="687"/>
      <x v="914"/>
    </i>
    <i>
      <x v="1010"/>
      <x v="1011"/>
      <x v="481"/>
      <x v="163"/>
      <x v="451"/>
      <x v="332"/>
      <x v="234"/>
    </i>
    <i>
      <x v="1021"/>
      <x v="1022"/>
      <x v="592"/>
      <x v="166"/>
      <x v="306"/>
      <x v="887"/>
      <x v="865"/>
    </i>
    <i>
      <x v="1023"/>
      <x v="1025"/>
      <x v="584"/>
      <x v="125"/>
      <x v="133"/>
      <x v="224"/>
      <x v="663"/>
    </i>
    <i>
      <x v="1028"/>
      <x v="1030"/>
      <x v="420"/>
      <x v="114"/>
      <x v="32"/>
      <x v="202"/>
      <x v="748"/>
    </i>
    <i>
      <x v="1032"/>
      <x v="1034"/>
      <x v="419"/>
      <x v="190"/>
      <x v="32"/>
      <x v="556"/>
      <x v="1001"/>
    </i>
    <i>
      <x v="1039"/>
      <x v="1041"/>
      <x v="427"/>
      <x v="156"/>
      <x v="113"/>
      <x v="370"/>
      <x v="717"/>
    </i>
    <i>
      <x v="1040"/>
      <x v="1042"/>
      <x v="627"/>
      <x v="104"/>
      <x v="370"/>
      <x v="506"/>
      <x v="179"/>
    </i>
    <i>
      <x v="1060"/>
      <x v="1062"/>
      <x v="676"/>
      <x v="216"/>
      <x v="35"/>
      <x v="502"/>
      <x v="322"/>
    </i>
    <i>
      <x v="1062"/>
      <x v="1064"/>
      <x v="561"/>
      <x v="170"/>
      <x v="145"/>
      <x v="623"/>
      <x v="711"/>
    </i>
    <i>
      <x v="1067"/>
      <x v="1069"/>
      <x v="684"/>
      <x v="102"/>
      <x v="169"/>
      <x v="443"/>
      <x v="8"/>
    </i>
    <i>
      <x v="1080"/>
      <x v="1082"/>
      <x v="563"/>
      <x v="27"/>
      <x v="1"/>
      <x v="484"/>
      <x v="829"/>
    </i>
    <i>
      <x v="1083"/>
      <x v="1086"/>
      <x v="537"/>
      <x v="103"/>
      <x v="103"/>
      <x v="233"/>
      <x v="683"/>
    </i>
    <i>
      <x v="1085"/>
      <x v="1087"/>
      <x v="687"/>
      <x v="205"/>
      <x v="420"/>
      <x v="615"/>
      <x v="503"/>
    </i>
    <i>
      <x v="1097"/>
      <x v="1099"/>
      <x v="646"/>
      <x v="258"/>
      <x v="107"/>
      <x v="771"/>
      <x v="233"/>
    </i>
    <i>
      <x v="1104"/>
      <x v="1106"/>
      <x v="462"/>
      <x v="101"/>
      <x v="30"/>
      <x v="624"/>
      <x v="955"/>
    </i>
    <i>
      <x v="1105"/>
      <x v="1107"/>
      <x v="460"/>
      <x v="235"/>
      <x v="277"/>
      <x v="17"/>
      <x v="674"/>
    </i>
    <i>
      <x v="1113"/>
      <x v="1115"/>
      <x v="682"/>
      <x v="265"/>
      <x v="24"/>
      <x v="147"/>
      <x v="497"/>
    </i>
    <i>
      <x v="1122"/>
      <x v="1124"/>
      <x v="533"/>
      <x v="41"/>
      <x v="32"/>
      <x v="401"/>
      <x v="899"/>
    </i>
    <i>
      <x v="1134"/>
      <x v="1136"/>
      <x v="495"/>
      <x v="254"/>
      <x v="32"/>
      <x v="218"/>
      <x v="523"/>
    </i>
    <i>
      <x v="1139"/>
      <x v="1141"/>
      <x v="477"/>
      <x v="181"/>
      <x v="32"/>
      <x v="54"/>
      <x v="959"/>
    </i>
  </rowItems>
  <colItems count="1">
    <i/>
  </colItems>
  <dataFields count="1">
    <dataField name="Sum of Coin.market_cap_usd" fld="7" baseField="7" baseItem="281"/>
  </dataFields>
  <pivotTableStyleInfo name="PivotStyleLight16" showRowHeaders="1" showColHeaders="1" showRowStripes="0" showColStripes="0" showLastColumn="1"/>
  <filters count="3">
    <filter fld="6" type="captionGreaterThan" evalOrder="-1" id="6" stringValue1="500000">
      <autoFilter ref="A1">
        <filterColumn colId="0">
          <customFilters>
            <customFilter operator="greaterThan" val="500000"/>
          </customFilters>
        </filterColumn>
      </autoFilter>
    </filter>
    <filter fld="9" type="captionGreaterThan" evalOrder="-1" id="2" stringValue1="20000">
      <autoFilter ref="A1">
        <filterColumn colId="0">
          <customFilters>
            <customFilter operator="greaterThan" val="20000"/>
          </customFilters>
        </filterColumn>
      </autoFilter>
    </filter>
    <filter fld="7" type="valueBetween" evalOrder="-1" id="5" iMeasureFld="0">
      <autoFilter ref="A1">
        <filterColumn colId="0">
          <customFilters and="1">
            <customFilter operator="greaterThanOrEqual" val="500000"/>
            <customFilter operator="lessThanOrEqual" val="1000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/>
    </ext>
  </extLst>
</pivotTableDefinition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47" tableType="queryTable" totalsRowShown="0">
  <autoFilter ref="A1:N1147"/>
  <tableColumns count="14">
    <tableColumn id="15" uniqueName="15" name="Coin.id" queryTableFieldId="1" dataDxfId="11"/>
    <tableColumn id="2" uniqueName="2" name="Coin.name" queryTableFieldId="2" dataDxfId="10"/>
    <tableColumn id="3" uniqueName="3" name="Coin.symbol" queryTableFieldId="3" dataDxfId="9"/>
    <tableColumn id="4" uniqueName="4" name="Coin.rank" queryTableFieldId="4" dataDxfId="8"/>
    <tableColumn id="5" uniqueName="5" name="Coin.price_usd" queryTableFieldId="5" dataDxfId="7"/>
    <tableColumn id="6" uniqueName="6" name="Coin.price_btc" queryTableFieldId="6" dataDxfId="6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5"/>
    <tableColumn id="10" uniqueName="10" name="Coin.total_supply" queryTableFieldId="10" dataDxfId="4"/>
    <tableColumn id="11" uniqueName="11" name="Coin.percent_change_1h" queryTableFieldId="11" dataDxfId="3"/>
    <tableColumn id="12" uniqueName="12" name="Coin.percent_change_24h" queryTableFieldId="12" dataDxfId="2"/>
    <tableColumn id="13" uniqueName="13" name="Coin.percent_change_7d" queryTableFieldId="13" dataDxfId="1"/>
    <tableColumn id="14" uniqueName="14" name="Coin.last_updated" queryTableFieldId="1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6" headerRowBorderDxfId="105" tableBorderDxfId="104" headerRowCellStyle="Currency">
  <autoFilter ref="A1:D5"/>
  <tableColumns count="4">
    <tableColumn id="1" name="Where" totalsRowLabel="Total"/>
    <tableColumn id="2" name="BV" totalsRowFunction="sum" dataDxfId="103" totalsRowDxfId="102" dataCellStyle="Currency"/>
    <tableColumn id="3" name="MV" totalsRowFunction="sum" dataDxfId="101" totalsRowDxfId="100" dataCellStyle="Currency"/>
    <tableColumn id="4" name="Change" totalsRowFunction="custom" dataDxfId="99" totalsRowDxfId="98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0" totalsRowCount="1" headerRowDxfId="97" dataDxfId="95" totalsRowDxfId="93" headerRowBorderDxfId="96" tableBorderDxfId="94" totalsRowBorderDxfId="92">
  <autoFilter ref="A1:E29"/>
  <tableColumns count="5">
    <tableColumn id="1" name="Date" totalsRowLabel="Total" dataDxfId="91" totalsRowDxfId="90"/>
    <tableColumn id="2" name="Exchange" dataDxfId="89" totalsRowDxfId="88"/>
    <tableColumn id="3" name="Deposited" totalsRowFunction="sum" dataDxfId="87" totalsRowDxfId="86"/>
    <tableColumn id="4" name="Commisson" totalsRowFunction="sum" dataDxfId="85" totalsRowDxfId="84"/>
    <tableColumn id="5" name="Remaining" totalsRowFunction="sum" dataDxfId="83" totalsRow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0" totalsRowCount="1" headerRowDxfId="80" totalsRowDxfId="77" headerRowBorderDxfId="79" tableBorderDxfId="78" totalsRowBorderDxfId="76">
  <autoFilter ref="A2:G29"/>
  <sortState ref="A3:G29">
    <sortCondition descending="1" ref="C2:C29"/>
  </sortState>
  <tableColumns count="7">
    <tableColumn id="1" name="Ticker" totalsRowLabel="Total" dataDxfId="75" totalsRowDxfId="74"/>
    <tableColumn id="2" name="Qty" dataDxfId="73" totalsRowDxfId="72"/>
    <tableColumn id="10" name="Value %" totalsRowFunction="sum" dataDxfId="71" totalsRowDxfId="70" dataCellStyle="Percent">
      <calculatedColumnFormula>Table4[[#This Row],[Column1]]/Table4[[#Totals],[Column1]]</calculatedColumnFormula>
    </tableColumn>
    <tableColumn id="6" name="USD" dataDxfId="69" totalsRowDxfId="68" dataCellStyle="Currency"/>
    <tableColumn id="7" name="Column1" totalsRowFunction="sum" dataDxfId="67" totalsRowDxfId="66" dataCellStyle="Currency">
      <calculatedColumnFormula>Table4[[#This Row],[USD]]*Table4[[#This Row],[Qty]]</calculatedColumnFormula>
    </tableColumn>
    <tableColumn id="3" name="Book Value ETH" dataDxfId="65" totalsRowDxfId="64"/>
    <tableColumn id="4" name="Total BV ETH" totalsRowFunction="sum" dataDxfId="63" totalsRowDxfId="62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61"/>
    <tableColumn id="2" name="Column1" dataDxfId="60" dataCellStyle="Currency"/>
    <tableColumn id="3" name="Column2" dataDxfId="59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58"/>
    <tableColumn id="2" name="Column1" dataDxfId="57" dataCellStyle="Currency"/>
    <tableColumn id="3" name="Column2" dataDxfId="56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55"/>
    <tableColumn id="2" name="Column1" dataDxfId="54" dataCellStyle="Currency"/>
    <tableColumn id="3" name="Column2" dataDxfId="53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4" totalsRowShown="0">
  <autoFilter ref="A1:G24"/>
  <tableColumns count="7">
    <tableColumn id="1" name="Ticker"/>
    <tableColumn id="2" name="Good Entry" dataDxfId="20"/>
    <tableColumn id="3" name="Good Exits" dataDxfId="19"/>
    <tableColumn id="4" name="Difference" dataDxfId="18" dataCellStyle="Percent">
      <calculatedColumnFormula>(C2-B2)/B2</calculatedColumnFormula>
    </tableColumn>
    <tableColumn id="5" name="Coin.price_usd" dataDxfId="17" dataCellStyle="Percent">
      <calculatedColumnFormula>INDEX(Ticker!$1:$1048576,MATCH(Flippers!$A2,Ticker!$C:$C,0),MATCH(Flippers!E$1,Ticker!$1:$1,0))</calculatedColumnFormula>
    </tableColumn>
    <tableColumn id="6" name="Coinomi?" dataDxfId="16"/>
    <tableColumn id="7" name="Price" dataDxfId="15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14"/>
    <tableColumn id="2" name="Column1" dataDxfId="13" dataCellStyle="Currency"/>
    <tableColumn id="3" name="Column2" dataDxfId="12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95"/>
  <sheetViews>
    <sheetView tabSelected="1" workbookViewId="0">
      <selection activeCell="G10" sqref="G10"/>
    </sheetView>
  </sheetViews>
  <sheetFormatPr defaultRowHeight="15"/>
  <cols>
    <col min="1" max="1" width="25.85546875" customWidth="1"/>
    <col min="2" max="2" width="20.42578125" customWidth="1"/>
    <col min="3" max="3" width="22.5703125" customWidth="1"/>
    <col min="4" max="4" width="20.85546875" customWidth="1"/>
    <col min="5" max="5" width="12.85546875" customWidth="1"/>
    <col min="6" max="6" width="16.7109375" customWidth="1"/>
    <col min="7" max="7" width="25.5703125" bestFit="1" customWidth="1"/>
    <col min="8" max="8" width="27.140625" bestFit="1" customWidth="1"/>
    <col min="9" max="9" width="21" customWidth="1"/>
  </cols>
  <sheetData>
    <row r="3" spans="1:8">
      <c r="A3" s="103" t="s">
        <v>56</v>
      </c>
      <c r="B3" s="103" t="s">
        <v>55</v>
      </c>
      <c r="C3" s="103" t="s">
        <v>62</v>
      </c>
      <c r="D3" s="103" t="s">
        <v>61</v>
      </c>
      <c r="E3" s="103" t="s">
        <v>65</v>
      </c>
      <c r="F3" s="103" t="s">
        <v>66</v>
      </c>
      <c r="G3" s="103" t="s">
        <v>67</v>
      </c>
      <c r="H3" t="s">
        <v>7501</v>
      </c>
    </row>
    <row r="4" spans="1:8">
      <c r="A4" t="s">
        <v>1664</v>
      </c>
      <c r="B4" t="s">
        <v>1663</v>
      </c>
      <c r="C4">
        <v>1653050</v>
      </c>
      <c r="D4" t="s">
        <v>6857</v>
      </c>
      <c r="E4" t="s">
        <v>6139</v>
      </c>
      <c r="F4" t="s">
        <v>5953</v>
      </c>
      <c r="G4" t="s">
        <v>6548</v>
      </c>
      <c r="H4" s="1">
        <v>1653050</v>
      </c>
    </row>
    <row r="5" spans="1:8">
      <c r="A5" t="s">
        <v>1092</v>
      </c>
      <c r="B5" t="s">
        <v>1091</v>
      </c>
      <c r="C5">
        <v>4718127</v>
      </c>
      <c r="D5" t="s">
        <v>6823</v>
      </c>
      <c r="E5" t="s">
        <v>6190</v>
      </c>
      <c r="F5" t="s">
        <v>5544</v>
      </c>
      <c r="G5" t="s">
        <v>6640</v>
      </c>
      <c r="H5" s="1">
        <v>4718127</v>
      </c>
    </row>
    <row r="6" spans="1:8">
      <c r="A6" t="s">
        <v>1145</v>
      </c>
      <c r="B6" t="s">
        <v>1144</v>
      </c>
      <c r="C6">
        <v>5793241</v>
      </c>
      <c r="D6" t="s">
        <v>6815</v>
      </c>
      <c r="E6" t="s">
        <v>5226</v>
      </c>
      <c r="F6" t="s">
        <v>5891</v>
      </c>
      <c r="G6" t="s">
        <v>6486</v>
      </c>
      <c r="H6" s="1">
        <v>5793241</v>
      </c>
    </row>
    <row r="7" spans="1:8">
      <c r="A7" t="s">
        <v>702</v>
      </c>
      <c r="B7" t="s">
        <v>701</v>
      </c>
      <c r="C7">
        <v>8755546</v>
      </c>
      <c r="D7" t="s">
        <v>6790</v>
      </c>
      <c r="E7" t="s">
        <v>5739</v>
      </c>
      <c r="F7" t="s">
        <v>6637</v>
      </c>
      <c r="G7" t="s">
        <v>6603</v>
      </c>
      <c r="H7" s="1">
        <v>8755546</v>
      </c>
    </row>
    <row r="8" spans="1:8">
      <c r="A8" t="s">
        <v>863</v>
      </c>
      <c r="B8" t="s">
        <v>862</v>
      </c>
      <c r="C8">
        <v>9848480</v>
      </c>
      <c r="D8" t="s">
        <v>6784</v>
      </c>
      <c r="E8" t="s">
        <v>5068</v>
      </c>
      <c r="F8" t="s">
        <v>6549</v>
      </c>
      <c r="G8" t="s">
        <v>6337</v>
      </c>
      <c r="H8" s="1">
        <v>9848480</v>
      </c>
    </row>
    <row r="9" spans="1:8">
      <c r="A9" t="s">
        <v>5148</v>
      </c>
      <c r="B9" t="s">
        <v>5147</v>
      </c>
      <c r="C9">
        <v>803892</v>
      </c>
      <c r="D9" t="s">
        <v>6896</v>
      </c>
      <c r="E9" t="s">
        <v>6024</v>
      </c>
      <c r="F9" t="s">
        <v>6897</v>
      </c>
      <c r="G9" t="s">
        <v>6898</v>
      </c>
      <c r="H9" s="1">
        <v>803892</v>
      </c>
    </row>
    <row r="10" spans="1:8">
      <c r="A10" t="s">
        <v>1050</v>
      </c>
      <c r="B10" t="s">
        <v>1049</v>
      </c>
      <c r="C10">
        <v>5223625</v>
      </c>
      <c r="D10" t="s">
        <v>6818</v>
      </c>
      <c r="E10" t="s">
        <v>5214</v>
      </c>
      <c r="F10" t="s">
        <v>6500</v>
      </c>
      <c r="G10" t="s">
        <v>6819</v>
      </c>
      <c r="H10" s="1">
        <v>5223625</v>
      </c>
    </row>
    <row r="11" spans="1:8">
      <c r="A11" t="s">
        <v>1395</v>
      </c>
      <c r="B11" t="s">
        <v>1394</v>
      </c>
      <c r="C11">
        <v>5919780</v>
      </c>
      <c r="D11" t="s">
        <v>6813</v>
      </c>
      <c r="E11" t="s">
        <v>5551</v>
      </c>
      <c r="F11" t="s">
        <v>6600</v>
      </c>
      <c r="G11" t="s">
        <v>6814</v>
      </c>
      <c r="H11" s="1">
        <v>5919780</v>
      </c>
    </row>
    <row r="12" spans="1:8">
      <c r="A12" t="s">
        <v>2392</v>
      </c>
      <c r="B12" t="s">
        <v>2391</v>
      </c>
      <c r="C12">
        <v>3430508</v>
      </c>
      <c r="D12" t="s">
        <v>6923</v>
      </c>
      <c r="E12" t="s">
        <v>5843</v>
      </c>
      <c r="F12" t="s">
        <v>5792</v>
      </c>
      <c r="G12" t="s">
        <v>6573</v>
      </c>
      <c r="H12" s="1">
        <v>3430508</v>
      </c>
    </row>
    <row r="13" spans="1:8">
      <c r="A13" t="s">
        <v>1113</v>
      </c>
      <c r="B13" t="s">
        <v>1112</v>
      </c>
      <c r="C13">
        <v>7156992</v>
      </c>
      <c r="D13" t="s">
        <v>6802</v>
      </c>
      <c r="E13" t="s">
        <v>5407</v>
      </c>
      <c r="F13" t="s">
        <v>6534</v>
      </c>
      <c r="G13" t="s">
        <v>5230</v>
      </c>
      <c r="H13" s="1">
        <v>7156992</v>
      </c>
    </row>
    <row r="14" spans="1:8">
      <c r="A14" t="s">
        <v>1083</v>
      </c>
      <c r="B14" t="s">
        <v>1082</v>
      </c>
      <c r="C14">
        <v>4841579</v>
      </c>
      <c r="D14" t="s">
        <v>6822</v>
      </c>
      <c r="E14" t="s">
        <v>6468</v>
      </c>
      <c r="F14" t="s">
        <v>5210</v>
      </c>
      <c r="G14" t="s">
        <v>6294</v>
      </c>
      <c r="H14" s="1">
        <v>4841579</v>
      </c>
    </row>
    <row r="15" spans="1:8">
      <c r="A15" t="s">
        <v>986</v>
      </c>
      <c r="B15" t="s">
        <v>985</v>
      </c>
      <c r="C15">
        <v>6677760</v>
      </c>
      <c r="D15" t="s">
        <v>6803</v>
      </c>
      <c r="E15" t="s">
        <v>5645</v>
      </c>
      <c r="F15" t="s">
        <v>6578</v>
      </c>
      <c r="G15" t="s">
        <v>6525</v>
      </c>
      <c r="H15" s="1">
        <v>6677760</v>
      </c>
    </row>
    <row r="16" spans="1:8">
      <c r="A16" t="s">
        <v>2529</v>
      </c>
      <c r="B16" t="s">
        <v>2528</v>
      </c>
      <c r="C16">
        <v>697652</v>
      </c>
      <c r="D16" t="s">
        <v>6900</v>
      </c>
      <c r="E16" t="s">
        <v>5780</v>
      </c>
      <c r="F16" t="s">
        <v>6608</v>
      </c>
      <c r="G16" t="s">
        <v>5109</v>
      </c>
      <c r="H16" s="1">
        <v>697652</v>
      </c>
    </row>
    <row r="17" spans="1:8">
      <c r="A17" t="s">
        <v>1781</v>
      </c>
      <c r="B17" t="s">
        <v>1780</v>
      </c>
      <c r="C17">
        <v>1091161</v>
      </c>
      <c r="D17" t="s">
        <v>6881</v>
      </c>
      <c r="E17" t="s">
        <v>5843</v>
      </c>
      <c r="F17" t="s">
        <v>5110</v>
      </c>
      <c r="G17" t="s">
        <v>5955</v>
      </c>
      <c r="H17" s="1">
        <v>1091161</v>
      </c>
    </row>
    <row r="18" spans="1:8">
      <c r="A18" t="s">
        <v>1409</v>
      </c>
      <c r="B18" t="s">
        <v>1408</v>
      </c>
      <c r="C18">
        <v>3463453</v>
      </c>
      <c r="D18" t="s">
        <v>6832</v>
      </c>
      <c r="E18" t="s">
        <v>5914</v>
      </c>
      <c r="F18" t="s">
        <v>5740</v>
      </c>
      <c r="G18" t="s">
        <v>6583</v>
      </c>
      <c r="H18" s="1">
        <v>3463453</v>
      </c>
    </row>
    <row r="19" spans="1:8">
      <c r="A19" t="s">
        <v>1140</v>
      </c>
      <c r="B19" t="s">
        <v>1139</v>
      </c>
      <c r="C19">
        <v>4595900</v>
      </c>
      <c r="D19" t="s">
        <v>6824</v>
      </c>
      <c r="E19" t="s">
        <v>5843</v>
      </c>
      <c r="F19" t="s">
        <v>6216</v>
      </c>
      <c r="G19" t="s">
        <v>6670</v>
      </c>
      <c r="H19" s="1">
        <v>4595900</v>
      </c>
    </row>
    <row r="20" spans="1:8">
      <c r="A20" t="s">
        <v>1344</v>
      </c>
      <c r="B20" t="s">
        <v>1343</v>
      </c>
      <c r="C20">
        <v>4319533</v>
      </c>
      <c r="D20" t="s">
        <v>6827</v>
      </c>
      <c r="E20" t="s">
        <v>5062</v>
      </c>
      <c r="F20" t="s">
        <v>6187</v>
      </c>
      <c r="G20" t="s">
        <v>6366</v>
      </c>
      <c r="H20" s="1">
        <v>4319533</v>
      </c>
    </row>
    <row r="21" spans="1:8">
      <c r="A21" t="s">
        <v>1624</v>
      </c>
      <c r="B21" t="s">
        <v>1623</v>
      </c>
      <c r="C21">
        <v>1565819</v>
      </c>
      <c r="D21" t="s">
        <v>6861</v>
      </c>
      <c r="E21" t="s">
        <v>3488</v>
      </c>
      <c r="F21" t="s">
        <v>6862</v>
      </c>
      <c r="G21" t="s">
        <v>6147</v>
      </c>
      <c r="H21" s="1">
        <v>1565819</v>
      </c>
    </row>
    <row r="22" spans="1:8">
      <c r="A22" t="s">
        <v>1236</v>
      </c>
      <c r="B22" t="s">
        <v>1235</v>
      </c>
      <c r="C22">
        <v>5162171</v>
      </c>
      <c r="D22" t="s">
        <v>6820</v>
      </c>
      <c r="E22" t="s">
        <v>5521</v>
      </c>
      <c r="F22" t="s">
        <v>6821</v>
      </c>
      <c r="G22" t="s">
        <v>6576</v>
      </c>
      <c r="H22" s="1">
        <v>5162171</v>
      </c>
    </row>
    <row r="23" spans="1:8">
      <c r="A23" t="s">
        <v>1190</v>
      </c>
      <c r="B23" t="s">
        <v>1189</v>
      </c>
      <c r="C23">
        <v>1943645</v>
      </c>
      <c r="D23" t="s">
        <v>6851</v>
      </c>
      <c r="E23" t="s">
        <v>6434</v>
      </c>
      <c r="F23" t="s">
        <v>5224</v>
      </c>
      <c r="G23" t="s">
        <v>6852</v>
      </c>
      <c r="H23" s="1">
        <v>1943645</v>
      </c>
    </row>
    <row r="24" spans="1:8">
      <c r="A24" t="s">
        <v>1200</v>
      </c>
      <c r="B24" t="s">
        <v>1199</v>
      </c>
      <c r="C24">
        <v>6013559</v>
      </c>
      <c r="D24" t="s">
        <v>6811</v>
      </c>
      <c r="E24" t="s">
        <v>5068</v>
      </c>
      <c r="F24" t="s">
        <v>6360</v>
      </c>
      <c r="G24" t="s">
        <v>6580</v>
      </c>
      <c r="H24" s="1">
        <v>6013559</v>
      </c>
    </row>
    <row r="25" spans="1:8">
      <c r="A25" t="s">
        <v>2475</v>
      </c>
      <c r="B25" t="s">
        <v>2474</v>
      </c>
      <c r="C25">
        <v>815624</v>
      </c>
      <c r="D25" t="s">
        <v>6894</v>
      </c>
      <c r="E25" t="s">
        <v>5754</v>
      </c>
      <c r="F25" t="s">
        <v>6353</v>
      </c>
      <c r="G25" t="s">
        <v>6895</v>
      </c>
      <c r="H25" s="1">
        <v>815624</v>
      </c>
    </row>
    <row r="26" spans="1:8">
      <c r="A26" t="s">
        <v>1022</v>
      </c>
      <c r="B26" t="s">
        <v>1021</v>
      </c>
      <c r="C26">
        <v>5980522</v>
      </c>
      <c r="D26" t="s">
        <v>6812</v>
      </c>
      <c r="E26" t="s">
        <v>5619</v>
      </c>
      <c r="F26" t="s">
        <v>6493</v>
      </c>
      <c r="G26" t="s">
        <v>6536</v>
      </c>
      <c r="H26" s="1">
        <v>5980522</v>
      </c>
    </row>
    <row r="27" spans="1:8">
      <c r="A27" t="s">
        <v>1267</v>
      </c>
      <c r="B27" t="s">
        <v>1266</v>
      </c>
      <c r="C27">
        <v>6277127</v>
      </c>
      <c r="D27" t="s">
        <v>6809</v>
      </c>
      <c r="E27" t="s">
        <v>6066</v>
      </c>
      <c r="F27" t="s">
        <v>6101</v>
      </c>
      <c r="G27" t="s">
        <v>6810</v>
      </c>
      <c r="H27" s="1">
        <v>6277127</v>
      </c>
    </row>
    <row r="28" spans="1:8">
      <c r="A28" t="s">
        <v>902</v>
      </c>
      <c r="B28" t="s">
        <v>901</v>
      </c>
      <c r="C28">
        <v>8341887</v>
      </c>
      <c r="D28" t="s">
        <v>6794</v>
      </c>
      <c r="E28" t="s">
        <v>5048</v>
      </c>
      <c r="F28" t="s">
        <v>6108</v>
      </c>
      <c r="G28" t="s">
        <v>6530</v>
      </c>
      <c r="H28" s="1">
        <v>8341887</v>
      </c>
    </row>
    <row r="29" spans="1:8">
      <c r="A29" t="s">
        <v>5605</v>
      </c>
      <c r="B29" t="s">
        <v>1125</v>
      </c>
      <c r="C29">
        <v>5547153</v>
      </c>
      <c r="D29" t="s">
        <v>6816</v>
      </c>
      <c r="E29" t="s">
        <v>5843</v>
      </c>
      <c r="F29" t="s">
        <v>6487</v>
      </c>
      <c r="G29" t="s">
        <v>6042</v>
      </c>
      <c r="H29" s="1">
        <v>5547153</v>
      </c>
    </row>
    <row r="30" spans="1:8">
      <c r="A30" t="s">
        <v>1258</v>
      </c>
      <c r="B30" t="s">
        <v>1257</v>
      </c>
      <c r="C30">
        <v>1807838</v>
      </c>
      <c r="D30" t="s">
        <v>6853</v>
      </c>
      <c r="E30" t="s">
        <v>5843</v>
      </c>
      <c r="F30" t="s">
        <v>6854</v>
      </c>
      <c r="G30" t="s">
        <v>6546</v>
      </c>
      <c r="H30" s="1">
        <v>1807838</v>
      </c>
    </row>
    <row r="31" spans="1:8">
      <c r="A31" t="s">
        <v>1403</v>
      </c>
      <c r="B31" t="s">
        <v>1402</v>
      </c>
      <c r="C31">
        <v>2997918</v>
      </c>
      <c r="D31" t="s">
        <v>6837</v>
      </c>
      <c r="E31" t="s">
        <v>6173</v>
      </c>
      <c r="F31" t="s">
        <v>6838</v>
      </c>
      <c r="G31" t="s">
        <v>6839</v>
      </c>
      <c r="H31" s="1">
        <v>2997918</v>
      </c>
    </row>
    <row r="32" spans="1:8">
      <c r="A32" t="s">
        <v>5026</v>
      </c>
      <c r="B32" t="s">
        <v>5025</v>
      </c>
      <c r="C32">
        <v>6573195</v>
      </c>
      <c r="D32" t="s">
        <v>6804</v>
      </c>
      <c r="E32" t="s">
        <v>5667</v>
      </c>
      <c r="F32" t="s">
        <v>6805</v>
      </c>
      <c r="G32" t="s">
        <v>6806</v>
      </c>
      <c r="H32" s="1">
        <v>6573195</v>
      </c>
    </row>
    <row r="33" spans="1:8">
      <c r="A33" t="s">
        <v>2410</v>
      </c>
      <c r="B33" t="s">
        <v>2409</v>
      </c>
      <c r="C33">
        <v>528059</v>
      </c>
      <c r="D33" t="s">
        <v>6905</v>
      </c>
      <c r="E33" t="s">
        <v>5843</v>
      </c>
      <c r="F33" t="s">
        <v>6281</v>
      </c>
      <c r="G33" t="s">
        <v>6906</v>
      </c>
      <c r="H33" s="1">
        <v>528059</v>
      </c>
    </row>
    <row r="34" spans="1:8">
      <c r="A34" t="s">
        <v>1866</v>
      </c>
      <c r="B34" t="s">
        <v>1865</v>
      </c>
      <c r="C34">
        <v>1385509</v>
      </c>
      <c r="D34" t="s">
        <v>6866</v>
      </c>
      <c r="E34" t="s">
        <v>5676</v>
      </c>
      <c r="F34" t="s">
        <v>6602</v>
      </c>
      <c r="G34" t="s">
        <v>6867</v>
      </c>
      <c r="H34" s="1">
        <v>1385509</v>
      </c>
    </row>
    <row r="35" spans="1:8">
      <c r="A35" t="s">
        <v>746</v>
      </c>
      <c r="B35" t="s">
        <v>745</v>
      </c>
      <c r="C35">
        <v>983231</v>
      </c>
      <c r="D35" t="s">
        <v>6882</v>
      </c>
      <c r="E35" t="s">
        <v>6435</v>
      </c>
      <c r="F35" t="s">
        <v>6585</v>
      </c>
      <c r="G35" t="s">
        <v>6883</v>
      </c>
      <c r="H35" s="1">
        <v>983231</v>
      </c>
    </row>
    <row r="36" spans="1:8">
      <c r="A36" t="s">
        <v>5207</v>
      </c>
      <c r="B36" t="s">
        <v>5206</v>
      </c>
      <c r="C36">
        <v>1200834</v>
      </c>
      <c r="D36" t="s">
        <v>6873</v>
      </c>
      <c r="E36" t="s">
        <v>5065</v>
      </c>
      <c r="F36" t="s">
        <v>6874</v>
      </c>
      <c r="G36" t="s">
        <v>6564</v>
      </c>
      <c r="H36" s="1">
        <v>1200834</v>
      </c>
    </row>
    <row r="37" spans="1:8">
      <c r="A37" t="s">
        <v>1572</v>
      </c>
      <c r="B37" t="s">
        <v>1571</v>
      </c>
      <c r="C37">
        <v>948172</v>
      </c>
      <c r="D37" t="s">
        <v>6886</v>
      </c>
      <c r="E37" t="s">
        <v>6172</v>
      </c>
      <c r="F37" t="s">
        <v>6887</v>
      </c>
      <c r="G37" t="s">
        <v>6888</v>
      </c>
      <c r="H37" s="1">
        <v>948172</v>
      </c>
    </row>
    <row r="38" spans="1:8">
      <c r="A38" t="s">
        <v>1994</v>
      </c>
      <c r="B38" t="s">
        <v>1993</v>
      </c>
      <c r="C38">
        <v>640530</v>
      </c>
      <c r="D38" t="s">
        <v>6903</v>
      </c>
      <c r="E38" t="s">
        <v>5548</v>
      </c>
      <c r="F38" t="s">
        <v>5870</v>
      </c>
      <c r="G38" t="s">
        <v>6195</v>
      </c>
      <c r="H38" s="1">
        <v>640530</v>
      </c>
    </row>
    <row r="39" spans="1:8">
      <c r="A39" t="s">
        <v>1486</v>
      </c>
      <c r="B39" t="s">
        <v>1485</v>
      </c>
      <c r="C39">
        <v>1544008</v>
      </c>
      <c r="D39" t="s">
        <v>6863</v>
      </c>
      <c r="E39" t="s">
        <v>5068</v>
      </c>
      <c r="F39" t="s">
        <v>6554</v>
      </c>
      <c r="G39" t="s">
        <v>6864</v>
      </c>
      <c r="H39" s="1">
        <v>1544008</v>
      </c>
    </row>
    <row r="40" spans="1:8">
      <c r="A40" t="s">
        <v>1496</v>
      </c>
      <c r="B40" t="s">
        <v>1495</v>
      </c>
      <c r="C40">
        <v>1162989</v>
      </c>
      <c r="D40" t="s">
        <v>6877</v>
      </c>
      <c r="E40" t="s">
        <v>6604</v>
      </c>
      <c r="F40" t="s">
        <v>6616</v>
      </c>
      <c r="G40" t="s">
        <v>6878</v>
      </c>
      <c r="H40" s="1">
        <v>1162989</v>
      </c>
    </row>
    <row r="41" spans="1:8">
      <c r="A41" t="s">
        <v>951</v>
      </c>
      <c r="B41" t="s">
        <v>950</v>
      </c>
      <c r="C41">
        <v>7489426</v>
      </c>
      <c r="D41" t="s">
        <v>6798</v>
      </c>
      <c r="E41" t="s">
        <v>5713</v>
      </c>
      <c r="F41" t="s">
        <v>6481</v>
      </c>
      <c r="G41" t="s">
        <v>6638</v>
      </c>
      <c r="H41" s="1">
        <v>7489426</v>
      </c>
    </row>
    <row r="42" spans="1:8">
      <c r="A42" t="s">
        <v>1712</v>
      </c>
      <c r="B42" t="s">
        <v>1711</v>
      </c>
      <c r="C42">
        <v>1274705</v>
      </c>
      <c r="D42" t="s">
        <v>6871</v>
      </c>
      <c r="E42" t="s">
        <v>5211</v>
      </c>
      <c r="F42" t="s">
        <v>5675</v>
      </c>
      <c r="G42" t="s">
        <v>5538</v>
      </c>
      <c r="H42" s="1">
        <v>1274705</v>
      </c>
    </row>
    <row r="43" spans="1:8">
      <c r="A43" t="s">
        <v>1340</v>
      </c>
      <c r="B43" t="s">
        <v>1339</v>
      </c>
      <c r="C43">
        <v>2590952</v>
      </c>
      <c r="D43" t="s">
        <v>6843</v>
      </c>
      <c r="E43" t="s">
        <v>5922</v>
      </c>
      <c r="F43" t="s">
        <v>6479</v>
      </c>
      <c r="G43" t="s">
        <v>6844</v>
      </c>
      <c r="H43" s="1">
        <v>2590952</v>
      </c>
    </row>
    <row r="44" spans="1:8">
      <c r="A44" t="s">
        <v>1831</v>
      </c>
      <c r="B44" t="s">
        <v>1830</v>
      </c>
      <c r="C44">
        <v>863674</v>
      </c>
      <c r="D44" t="s">
        <v>6891</v>
      </c>
      <c r="E44" t="s">
        <v>5109</v>
      </c>
      <c r="F44" t="s">
        <v>6061</v>
      </c>
      <c r="G44" t="s">
        <v>6528</v>
      </c>
      <c r="H44" s="1">
        <v>863674</v>
      </c>
    </row>
    <row r="45" spans="1:8">
      <c r="A45" t="s">
        <v>2519</v>
      </c>
      <c r="B45" t="s">
        <v>2518</v>
      </c>
      <c r="C45">
        <v>962629</v>
      </c>
      <c r="D45" t="s">
        <v>6929</v>
      </c>
      <c r="E45" t="s">
        <v>5843</v>
      </c>
      <c r="F45" t="s">
        <v>5275</v>
      </c>
      <c r="G45" t="s">
        <v>6598</v>
      </c>
      <c r="H45" s="1">
        <v>962629</v>
      </c>
    </row>
    <row r="46" spans="1:8">
      <c r="A46" t="s">
        <v>1600</v>
      </c>
      <c r="B46" t="s">
        <v>1599</v>
      </c>
      <c r="C46">
        <v>1747479</v>
      </c>
      <c r="D46" t="s">
        <v>6855</v>
      </c>
      <c r="E46" t="s">
        <v>5629</v>
      </c>
      <c r="F46" t="s">
        <v>6563</v>
      </c>
      <c r="G46" t="s">
        <v>6590</v>
      </c>
      <c r="H46" s="1">
        <v>1747479</v>
      </c>
    </row>
    <row r="47" spans="1:8">
      <c r="A47" t="s">
        <v>1036</v>
      </c>
      <c r="B47" t="s">
        <v>1035</v>
      </c>
      <c r="C47">
        <v>7329160</v>
      </c>
      <c r="D47" t="s">
        <v>6801</v>
      </c>
      <c r="E47" t="s">
        <v>5083</v>
      </c>
      <c r="F47" t="s">
        <v>6132</v>
      </c>
      <c r="G47" t="s">
        <v>6659</v>
      </c>
      <c r="H47" s="1">
        <v>7329160</v>
      </c>
    </row>
    <row r="48" spans="1:8">
      <c r="A48" t="s">
        <v>1773</v>
      </c>
      <c r="B48" t="s">
        <v>1772</v>
      </c>
      <c r="C48">
        <v>857508</v>
      </c>
      <c r="D48" t="s">
        <v>6892</v>
      </c>
      <c r="E48" t="s">
        <v>5536</v>
      </c>
      <c r="F48" t="s">
        <v>5781</v>
      </c>
      <c r="G48" t="s">
        <v>6893</v>
      </c>
      <c r="H48" s="1">
        <v>857508</v>
      </c>
    </row>
    <row r="49" spans="1:8">
      <c r="A49" t="s">
        <v>1696</v>
      </c>
      <c r="B49" t="s">
        <v>1695</v>
      </c>
      <c r="C49">
        <v>1299128</v>
      </c>
      <c r="D49" t="s">
        <v>6870</v>
      </c>
      <c r="E49" t="s">
        <v>5049</v>
      </c>
      <c r="F49" t="s">
        <v>6174</v>
      </c>
      <c r="G49" t="s">
        <v>6586</v>
      </c>
      <c r="H49" s="1">
        <v>1299128</v>
      </c>
    </row>
    <row r="50" spans="1:8">
      <c r="A50" t="s">
        <v>1943</v>
      </c>
      <c r="B50" t="s">
        <v>1942</v>
      </c>
      <c r="C50">
        <v>713770</v>
      </c>
      <c r="D50" t="s">
        <v>6931</v>
      </c>
      <c r="E50" t="s">
        <v>5122</v>
      </c>
      <c r="F50" t="s">
        <v>5758</v>
      </c>
      <c r="G50" t="s">
        <v>6520</v>
      </c>
      <c r="H50" s="1">
        <v>713770</v>
      </c>
    </row>
    <row r="51" spans="1:8">
      <c r="A51" t="s">
        <v>2400</v>
      </c>
      <c r="B51" t="s">
        <v>2399</v>
      </c>
      <c r="C51">
        <v>1377771</v>
      </c>
      <c r="D51" t="s">
        <v>6926</v>
      </c>
      <c r="E51" t="s">
        <v>5064</v>
      </c>
      <c r="F51" t="s">
        <v>6507</v>
      </c>
      <c r="G51" t="s">
        <v>6630</v>
      </c>
      <c r="H51" s="1">
        <v>1377771</v>
      </c>
    </row>
    <row r="52" spans="1:8">
      <c r="A52" t="s">
        <v>883</v>
      </c>
      <c r="B52" t="s">
        <v>882</v>
      </c>
      <c r="C52">
        <v>8433073</v>
      </c>
      <c r="D52" t="s">
        <v>6792</v>
      </c>
      <c r="E52" t="s">
        <v>5562</v>
      </c>
      <c r="F52" t="s">
        <v>6491</v>
      </c>
      <c r="G52" t="s">
        <v>6793</v>
      </c>
      <c r="H52" s="1">
        <v>8433073</v>
      </c>
    </row>
    <row r="53" spans="1:8">
      <c r="A53" t="s">
        <v>1554</v>
      </c>
      <c r="B53" t="s">
        <v>1553</v>
      </c>
      <c r="C53">
        <v>657091</v>
      </c>
      <c r="D53" t="s">
        <v>6901</v>
      </c>
      <c r="E53" t="s">
        <v>5001</v>
      </c>
      <c r="F53" t="s">
        <v>5892</v>
      </c>
      <c r="G53" t="s">
        <v>6668</v>
      </c>
      <c r="H53" s="1">
        <v>657091</v>
      </c>
    </row>
    <row r="54" spans="1:8">
      <c r="A54" t="s">
        <v>1387</v>
      </c>
      <c r="B54" t="s">
        <v>1386</v>
      </c>
      <c r="C54">
        <v>2180188</v>
      </c>
      <c r="D54" t="s">
        <v>6845</v>
      </c>
      <c r="E54" t="s">
        <v>5062</v>
      </c>
      <c r="F54" t="s">
        <v>5757</v>
      </c>
      <c r="G54" t="s">
        <v>5774</v>
      </c>
      <c r="H54" s="1">
        <v>2180188</v>
      </c>
    </row>
    <row r="55" spans="1:8">
      <c r="A55" t="s">
        <v>977</v>
      </c>
      <c r="B55" t="s">
        <v>976</v>
      </c>
      <c r="C55">
        <v>8288795</v>
      </c>
      <c r="D55" t="s">
        <v>6795</v>
      </c>
      <c r="E55" t="s">
        <v>5048</v>
      </c>
      <c r="F55" t="s">
        <v>5549</v>
      </c>
      <c r="G55" t="s">
        <v>6518</v>
      </c>
      <c r="H55" s="1">
        <v>8288795</v>
      </c>
    </row>
    <row r="56" spans="1:8">
      <c r="A56" t="s">
        <v>1806</v>
      </c>
      <c r="B56" t="s">
        <v>1805</v>
      </c>
      <c r="C56">
        <v>961077</v>
      </c>
      <c r="D56" t="s">
        <v>6884</v>
      </c>
      <c r="E56" t="s">
        <v>5521</v>
      </c>
      <c r="F56" t="s">
        <v>5946</v>
      </c>
      <c r="G56" t="s">
        <v>5101</v>
      </c>
      <c r="H56" s="1">
        <v>961077</v>
      </c>
    </row>
    <row r="57" spans="1:8">
      <c r="A57" t="s">
        <v>1369</v>
      </c>
      <c r="B57" t="s">
        <v>1368</v>
      </c>
      <c r="C57">
        <v>3404144</v>
      </c>
      <c r="D57" t="s">
        <v>6833</v>
      </c>
      <c r="E57" t="s">
        <v>5843</v>
      </c>
      <c r="F57" t="s">
        <v>6531</v>
      </c>
      <c r="G57" t="s">
        <v>6704</v>
      </c>
      <c r="H57" s="1">
        <v>3404144</v>
      </c>
    </row>
    <row r="58" spans="1:8">
      <c r="A58" t="s">
        <v>1643</v>
      </c>
      <c r="B58" t="s">
        <v>1642</v>
      </c>
      <c r="C58">
        <v>1576088</v>
      </c>
      <c r="D58" t="s">
        <v>6860</v>
      </c>
      <c r="E58" t="s">
        <v>5538</v>
      </c>
      <c r="F58" t="s">
        <v>6416</v>
      </c>
      <c r="G58" t="s">
        <v>6632</v>
      </c>
      <c r="H58" s="1">
        <v>1576088</v>
      </c>
    </row>
    <row r="59" spans="1:8">
      <c r="A59" t="s">
        <v>1194</v>
      </c>
      <c r="B59" t="s">
        <v>1193</v>
      </c>
      <c r="C59">
        <v>4533092</v>
      </c>
      <c r="D59" t="s">
        <v>6826</v>
      </c>
      <c r="E59" t="s">
        <v>5398</v>
      </c>
      <c r="F59" t="s">
        <v>6612</v>
      </c>
      <c r="G59" t="s">
        <v>6045</v>
      </c>
      <c r="H59" s="1">
        <v>4533092</v>
      </c>
    </row>
    <row r="60" spans="1:8">
      <c r="A60" t="s">
        <v>947</v>
      </c>
      <c r="B60" t="s">
        <v>946</v>
      </c>
      <c r="C60">
        <v>8165448</v>
      </c>
      <c r="D60" t="s">
        <v>6796</v>
      </c>
      <c r="E60" t="s">
        <v>5048</v>
      </c>
      <c r="F60" t="s">
        <v>5378</v>
      </c>
      <c r="G60" t="s">
        <v>6513</v>
      </c>
      <c r="H60" s="1">
        <v>8165448</v>
      </c>
    </row>
    <row r="61" spans="1:8">
      <c r="A61" t="s">
        <v>998</v>
      </c>
      <c r="B61" t="s">
        <v>997</v>
      </c>
      <c r="C61">
        <v>8937575</v>
      </c>
      <c r="D61" t="s">
        <v>6789</v>
      </c>
      <c r="E61" t="s">
        <v>5407</v>
      </c>
      <c r="F61" t="s">
        <v>5101</v>
      </c>
      <c r="G61" t="s">
        <v>6484</v>
      </c>
      <c r="H61" s="1">
        <v>8937575</v>
      </c>
    </row>
    <row r="62" spans="1:8">
      <c r="A62" t="s">
        <v>1221</v>
      </c>
      <c r="B62" t="s">
        <v>1220</v>
      </c>
      <c r="C62">
        <v>4535590</v>
      </c>
      <c r="D62" t="s">
        <v>6825</v>
      </c>
      <c r="E62" t="s">
        <v>6172</v>
      </c>
      <c r="F62" t="s">
        <v>6143</v>
      </c>
      <c r="G62" t="s">
        <v>6553</v>
      </c>
      <c r="H62" s="1">
        <v>4535590</v>
      </c>
    </row>
    <row r="63" spans="1:8">
      <c r="A63" t="s">
        <v>960</v>
      </c>
      <c r="B63" t="s">
        <v>959</v>
      </c>
      <c r="C63">
        <v>7447400</v>
      </c>
      <c r="D63" t="s">
        <v>6800</v>
      </c>
      <c r="E63" t="s">
        <v>5049</v>
      </c>
      <c r="F63" t="s">
        <v>5873</v>
      </c>
      <c r="G63" t="s">
        <v>6619</v>
      </c>
      <c r="H63" s="1">
        <v>7447400</v>
      </c>
    </row>
    <row r="64" spans="1:8">
      <c r="A64" t="s">
        <v>1609</v>
      </c>
      <c r="B64" t="s">
        <v>1608</v>
      </c>
      <c r="C64">
        <v>1638702</v>
      </c>
      <c r="D64" t="s">
        <v>6858</v>
      </c>
      <c r="E64" t="s">
        <v>6098</v>
      </c>
      <c r="F64" t="s">
        <v>5128</v>
      </c>
      <c r="G64" t="s">
        <v>6859</v>
      </c>
      <c r="H64" s="1">
        <v>1638702</v>
      </c>
    </row>
    <row r="65" spans="1:8">
      <c r="A65" t="s">
        <v>2077</v>
      </c>
      <c r="B65" t="s">
        <v>2076</v>
      </c>
      <c r="C65">
        <v>519576</v>
      </c>
      <c r="D65" t="s">
        <v>6907</v>
      </c>
      <c r="E65" t="s">
        <v>6123</v>
      </c>
      <c r="F65" t="s">
        <v>5694</v>
      </c>
      <c r="G65" t="s">
        <v>6908</v>
      </c>
      <c r="H65" s="1">
        <v>519576</v>
      </c>
    </row>
    <row r="66" spans="1:8">
      <c r="A66" t="s">
        <v>2497</v>
      </c>
      <c r="B66" t="s">
        <v>2496</v>
      </c>
      <c r="C66">
        <v>1952160</v>
      </c>
      <c r="D66" t="s">
        <v>6848</v>
      </c>
      <c r="E66" t="s">
        <v>6849</v>
      </c>
      <c r="F66" t="s">
        <v>6850</v>
      </c>
      <c r="G66" t="s">
        <v>7500</v>
      </c>
      <c r="H66" s="1">
        <v>1952160</v>
      </c>
    </row>
    <row r="67" spans="1:8">
      <c r="A67" t="s">
        <v>1292</v>
      </c>
      <c r="B67" t="s">
        <v>1291</v>
      </c>
      <c r="C67">
        <v>2845406</v>
      </c>
      <c r="D67" t="s">
        <v>6841</v>
      </c>
      <c r="E67" t="s">
        <v>6472</v>
      </c>
      <c r="F67" t="s">
        <v>6062</v>
      </c>
      <c r="G67" t="s">
        <v>6480</v>
      </c>
      <c r="H67" s="1">
        <v>2845406</v>
      </c>
    </row>
    <row r="68" spans="1:8">
      <c r="A68" t="s">
        <v>5319</v>
      </c>
      <c r="B68" t="s">
        <v>5901</v>
      </c>
      <c r="C68">
        <v>4285592</v>
      </c>
      <c r="D68" t="s">
        <v>6828</v>
      </c>
      <c r="E68" t="s">
        <v>6212</v>
      </c>
      <c r="F68" t="s">
        <v>5687</v>
      </c>
      <c r="G68" t="s">
        <v>6148</v>
      </c>
      <c r="H68" s="1">
        <v>4285592</v>
      </c>
    </row>
    <row r="69" spans="1:8">
      <c r="A69" t="s">
        <v>1821</v>
      </c>
      <c r="B69" t="s">
        <v>1820</v>
      </c>
      <c r="C69">
        <v>728756</v>
      </c>
      <c r="D69" t="s">
        <v>6899</v>
      </c>
      <c r="E69" t="s">
        <v>5755</v>
      </c>
      <c r="F69" t="s">
        <v>5753</v>
      </c>
      <c r="G69" t="s">
        <v>6539</v>
      </c>
      <c r="H69" s="1">
        <v>728756</v>
      </c>
    </row>
    <row r="70" spans="1:8">
      <c r="A70" t="s">
        <v>1017</v>
      </c>
      <c r="B70" t="s">
        <v>1016</v>
      </c>
      <c r="C70">
        <v>7506405</v>
      </c>
      <c r="D70" t="s">
        <v>6797</v>
      </c>
      <c r="E70" t="s">
        <v>5227</v>
      </c>
      <c r="F70" t="s">
        <v>5495</v>
      </c>
      <c r="G70" t="s">
        <v>5852</v>
      </c>
      <c r="H70" s="1">
        <v>7506405</v>
      </c>
    </row>
    <row r="71" spans="1:8">
      <c r="A71" t="s">
        <v>1861</v>
      </c>
      <c r="B71" t="s">
        <v>1860</v>
      </c>
      <c r="C71">
        <v>895018</v>
      </c>
      <c r="D71" t="s">
        <v>6890</v>
      </c>
      <c r="E71" t="s">
        <v>5843</v>
      </c>
      <c r="F71" t="s">
        <v>6625</v>
      </c>
      <c r="G71" t="s">
        <v>6218</v>
      </c>
      <c r="H71" s="1">
        <v>895018</v>
      </c>
    </row>
    <row r="72" spans="1:8">
      <c r="A72" t="s">
        <v>1491</v>
      </c>
      <c r="B72" t="s">
        <v>1490</v>
      </c>
      <c r="C72">
        <v>3253139</v>
      </c>
      <c r="D72" t="s">
        <v>6834</v>
      </c>
      <c r="E72" t="s">
        <v>5620</v>
      </c>
      <c r="F72" t="s">
        <v>6522</v>
      </c>
      <c r="G72" t="s">
        <v>6498</v>
      </c>
      <c r="H72" s="1">
        <v>3253139</v>
      </c>
    </row>
    <row r="73" spans="1:8">
      <c r="A73" t="s">
        <v>2471</v>
      </c>
      <c r="B73" t="s">
        <v>2470</v>
      </c>
      <c r="C73">
        <v>694658</v>
      </c>
      <c r="D73" t="s">
        <v>6932</v>
      </c>
      <c r="E73" t="s">
        <v>5843</v>
      </c>
      <c r="F73" t="s">
        <v>5992</v>
      </c>
      <c r="G73" t="s">
        <v>6494</v>
      </c>
      <c r="H73" s="1">
        <v>694658</v>
      </c>
    </row>
    <row r="74" spans="1:8">
      <c r="A74" t="s">
        <v>2094</v>
      </c>
      <c r="B74" t="s">
        <v>2093</v>
      </c>
      <c r="C74">
        <v>6333340</v>
      </c>
      <c r="D74" t="s">
        <v>6807</v>
      </c>
      <c r="E74" t="s">
        <v>5212</v>
      </c>
      <c r="F74" t="s">
        <v>5387</v>
      </c>
      <c r="G74" t="s">
        <v>6096</v>
      </c>
      <c r="H74" s="1">
        <v>6333340</v>
      </c>
    </row>
    <row r="75" spans="1:8">
      <c r="A75" t="s">
        <v>1004</v>
      </c>
      <c r="B75" t="s">
        <v>1003</v>
      </c>
      <c r="C75">
        <v>9146496</v>
      </c>
      <c r="D75" t="s">
        <v>6788</v>
      </c>
      <c r="E75" t="s">
        <v>5902</v>
      </c>
      <c r="F75" t="s">
        <v>6110</v>
      </c>
      <c r="G75" t="s">
        <v>6582</v>
      </c>
      <c r="H75" s="1">
        <v>9146496</v>
      </c>
    </row>
    <row r="76" spans="1:8">
      <c r="A76" t="s">
        <v>5181</v>
      </c>
      <c r="B76" t="s">
        <v>5180</v>
      </c>
      <c r="C76">
        <v>1187250</v>
      </c>
      <c r="D76" t="s">
        <v>6875</v>
      </c>
      <c r="E76" t="s">
        <v>6049</v>
      </c>
      <c r="F76" t="s">
        <v>6069</v>
      </c>
      <c r="G76" t="s">
        <v>6876</v>
      </c>
      <c r="H76" s="1">
        <v>1187250</v>
      </c>
    </row>
    <row r="77" spans="1:8">
      <c r="A77" t="s">
        <v>1215</v>
      </c>
      <c r="B77" t="s">
        <v>1214</v>
      </c>
      <c r="C77">
        <v>4126595</v>
      </c>
      <c r="D77" t="s">
        <v>6829</v>
      </c>
      <c r="E77" t="s">
        <v>5808</v>
      </c>
      <c r="F77" t="s">
        <v>6071</v>
      </c>
      <c r="G77" t="s">
        <v>5913</v>
      </c>
      <c r="H77" s="1">
        <v>4126595</v>
      </c>
    </row>
    <row r="78" spans="1:8">
      <c r="A78" t="s">
        <v>1604</v>
      </c>
      <c r="B78" t="s">
        <v>1603</v>
      </c>
      <c r="C78">
        <v>3477417</v>
      </c>
      <c r="D78" t="s">
        <v>6830</v>
      </c>
      <c r="E78" t="s">
        <v>5409</v>
      </c>
      <c r="F78" t="s">
        <v>6559</v>
      </c>
      <c r="G78" t="s">
        <v>6831</v>
      </c>
      <c r="H78" s="1">
        <v>3477417</v>
      </c>
    </row>
    <row r="79" spans="1:8">
      <c r="A79" t="s">
        <v>1986</v>
      </c>
      <c r="B79" t="s">
        <v>1985</v>
      </c>
      <c r="C79">
        <v>601119</v>
      </c>
      <c r="D79" t="s">
        <v>6933</v>
      </c>
      <c r="E79" t="s">
        <v>5843</v>
      </c>
      <c r="F79" t="s">
        <v>6934</v>
      </c>
      <c r="G79" t="s">
        <v>6935</v>
      </c>
      <c r="H79" s="1">
        <v>601119</v>
      </c>
    </row>
    <row r="80" spans="1:8">
      <c r="A80" t="s">
        <v>1885</v>
      </c>
      <c r="B80" t="s">
        <v>1884</v>
      </c>
      <c r="C80">
        <v>596489</v>
      </c>
      <c r="D80" t="s">
        <v>6904</v>
      </c>
      <c r="E80" t="s">
        <v>5843</v>
      </c>
      <c r="F80" t="s">
        <v>6097</v>
      </c>
      <c r="G80" t="s">
        <v>7500</v>
      </c>
      <c r="H80" s="1">
        <v>596489</v>
      </c>
    </row>
    <row r="81" spans="1:8">
      <c r="A81" t="s">
        <v>1841</v>
      </c>
      <c r="B81" t="s">
        <v>1840</v>
      </c>
      <c r="C81">
        <v>646843</v>
      </c>
      <c r="D81" t="s">
        <v>6902</v>
      </c>
      <c r="E81" t="s">
        <v>5630</v>
      </c>
      <c r="F81" t="s">
        <v>5837</v>
      </c>
      <c r="G81" t="s">
        <v>6274</v>
      </c>
      <c r="H81" s="1">
        <v>646843</v>
      </c>
    </row>
    <row r="82" spans="1:8">
      <c r="A82" t="s">
        <v>1099</v>
      </c>
      <c r="B82" t="s">
        <v>1098</v>
      </c>
      <c r="C82">
        <v>5501834</v>
      </c>
      <c r="D82" t="s">
        <v>6817</v>
      </c>
      <c r="E82" t="s">
        <v>6177</v>
      </c>
      <c r="F82" t="s">
        <v>6322</v>
      </c>
      <c r="G82" t="s">
        <v>6093</v>
      </c>
      <c r="H82" s="1">
        <v>5501834</v>
      </c>
    </row>
    <row r="83" spans="1:8">
      <c r="A83" t="s">
        <v>924</v>
      </c>
      <c r="B83" t="s">
        <v>923</v>
      </c>
      <c r="C83">
        <v>8707284</v>
      </c>
      <c r="D83" t="s">
        <v>6791</v>
      </c>
      <c r="E83" t="s">
        <v>5535</v>
      </c>
      <c r="F83" t="s">
        <v>5833</v>
      </c>
      <c r="G83" t="s">
        <v>6587</v>
      </c>
      <c r="H83" s="1">
        <v>8707284</v>
      </c>
    </row>
    <row r="84" spans="1:8">
      <c r="A84" t="s">
        <v>1469</v>
      </c>
      <c r="B84" t="s">
        <v>1468</v>
      </c>
      <c r="C84">
        <v>2863022</v>
      </c>
      <c r="D84" t="s">
        <v>6840</v>
      </c>
      <c r="E84" t="s">
        <v>5410</v>
      </c>
      <c r="F84" t="s">
        <v>6149</v>
      </c>
      <c r="G84" t="s">
        <v>5923</v>
      </c>
      <c r="H84" s="1">
        <v>2863022</v>
      </c>
    </row>
    <row r="85" spans="1:8">
      <c r="A85" t="s">
        <v>5145</v>
      </c>
      <c r="B85" t="s">
        <v>5144</v>
      </c>
      <c r="C85">
        <v>9441365</v>
      </c>
      <c r="D85" t="s">
        <v>6786</v>
      </c>
      <c r="E85" t="s">
        <v>5550</v>
      </c>
      <c r="F85" t="s">
        <v>6533</v>
      </c>
      <c r="G85" t="s">
        <v>5062</v>
      </c>
      <c r="H85" s="1">
        <v>9441365</v>
      </c>
    </row>
    <row r="86" spans="1:8">
      <c r="A86" t="s">
        <v>1382</v>
      </c>
      <c r="B86" t="s">
        <v>1381</v>
      </c>
      <c r="C86">
        <v>2947633</v>
      </c>
      <c r="D86" t="s">
        <v>6716</v>
      </c>
      <c r="E86" t="s">
        <v>265</v>
      </c>
      <c r="F86" t="s">
        <v>6556</v>
      </c>
      <c r="G86" t="s">
        <v>6717</v>
      </c>
      <c r="H86" s="1">
        <v>2947633</v>
      </c>
    </row>
    <row r="87" spans="1:8">
      <c r="A87" t="s">
        <v>1563</v>
      </c>
      <c r="B87" t="s">
        <v>1562</v>
      </c>
      <c r="C87">
        <v>2073583</v>
      </c>
      <c r="D87" t="s">
        <v>6846</v>
      </c>
      <c r="E87" t="s">
        <v>5217</v>
      </c>
      <c r="F87" t="s">
        <v>6068</v>
      </c>
      <c r="G87" t="s">
        <v>6847</v>
      </c>
      <c r="H87" s="1">
        <v>2073583</v>
      </c>
    </row>
    <row r="88" spans="1:8">
      <c r="A88" t="s">
        <v>803</v>
      </c>
      <c r="B88" t="s">
        <v>802</v>
      </c>
      <c r="C88">
        <v>9685074</v>
      </c>
      <c r="D88" t="s">
        <v>6785</v>
      </c>
      <c r="E88" t="s">
        <v>6086</v>
      </c>
      <c r="F88" t="s">
        <v>6523</v>
      </c>
      <c r="G88" t="s">
        <v>5911</v>
      </c>
      <c r="H88" s="1">
        <v>9685074</v>
      </c>
    </row>
    <row r="89" spans="1:8">
      <c r="A89" t="s">
        <v>1413</v>
      </c>
      <c r="B89" t="s">
        <v>1412</v>
      </c>
      <c r="C89">
        <v>6294757</v>
      </c>
      <c r="D89" t="s">
        <v>6808</v>
      </c>
      <c r="E89" t="s">
        <v>5751</v>
      </c>
      <c r="F89" t="s">
        <v>5806</v>
      </c>
      <c r="G89" t="s">
        <v>6566</v>
      </c>
      <c r="H89" s="1">
        <v>6294757</v>
      </c>
    </row>
    <row r="90" spans="1:8">
      <c r="A90" t="s">
        <v>1826</v>
      </c>
      <c r="B90" t="s">
        <v>1825</v>
      </c>
      <c r="C90">
        <v>949254</v>
      </c>
      <c r="D90" t="s">
        <v>6885</v>
      </c>
      <c r="E90" t="s">
        <v>5062</v>
      </c>
      <c r="F90" t="s">
        <v>6589</v>
      </c>
      <c r="G90" t="s">
        <v>5816</v>
      </c>
      <c r="H90" s="1">
        <v>949254</v>
      </c>
    </row>
    <row r="91" spans="1:8">
      <c r="A91" t="s">
        <v>1648</v>
      </c>
      <c r="B91" t="s">
        <v>1647</v>
      </c>
      <c r="C91">
        <v>945721</v>
      </c>
      <c r="D91" t="s">
        <v>6889</v>
      </c>
      <c r="E91" t="s">
        <v>6461</v>
      </c>
      <c r="F91" t="s">
        <v>5130</v>
      </c>
      <c r="G91" t="s">
        <v>6511</v>
      </c>
      <c r="H91" s="1">
        <v>945721</v>
      </c>
    </row>
    <row r="92" spans="1:8">
      <c r="A92" t="s">
        <v>943</v>
      </c>
      <c r="B92" t="s">
        <v>942</v>
      </c>
      <c r="C92">
        <v>9249569</v>
      </c>
      <c r="D92" t="s">
        <v>6787</v>
      </c>
      <c r="E92" t="s">
        <v>5049</v>
      </c>
      <c r="F92" t="s">
        <v>6140</v>
      </c>
      <c r="G92" t="s">
        <v>6636</v>
      </c>
      <c r="H92" s="1">
        <v>9249569</v>
      </c>
    </row>
    <row r="93" spans="1:8">
      <c r="A93" t="s">
        <v>2396</v>
      </c>
      <c r="B93" t="s">
        <v>2395</v>
      </c>
      <c r="C93">
        <v>2013485</v>
      </c>
      <c r="D93" t="s">
        <v>6925</v>
      </c>
      <c r="E93" t="s">
        <v>5843</v>
      </c>
      <c r="F93" t="s">
        <v>6477</v>
      </c>
      <c r="G93" t="s">
        <v>6629</v>
      </c>
      <c r="H93" s="1">
        <v>2013485</v>
      </c>
    </row>
    <row r="94" spans="1:8">
      <c r="A94" t="s">
        <v>1452</v>
      </c>
      <c r="B94" t="s">
        <v>1451</v>
      </c>
      <c r="C94">
        <v>1358864</v>
      </c>
      <c r="D94" t="s">
        <v>6868</v>
      </c>
      <c r="E94" t="s">
        <v>5843</v>
      </c>
      <c r="F94" t="s">
        <v>6671</v>
      </c>
      <c r="G94" t="s">
        <v>6869</v>
      </c>
      <c r="H94" s="1">
        <v>1358864</v>
      </c>
    </row>
    <row r="95" spans="1:8">
      <c r="A95" t="s">
        <v>1875</v>
      </c>
      <c r="B95" t="s">
        <v>1874</v>
      </c>
      <c r="C95">
        <v>1149026</v>
      </c>
      <c r="D95" t="s">
        <v>6879</v>
      </c>
      <c r="E95" t="s">
        <v>5843</v>
      </c>
      <c r="F95" t="s">
        <v>5846</v>
      </c>
      <c r="G95" t="s">
        <v>6678</v>
      </c>
      <c r="H95" s="1">
        <v>1149026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47"/>
  <sheetViews>
    <sheetView topLeftCell="A2" workbookViewId="0"/>
  </sheetViews>
  <sheetFormatPr defaultRowHeight="1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45" bestFit="1" customWidth="1"/>
    <col min="10" max="10" width="19" style="45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>
      <c r="A1" s="1" t="s">
        <v>55</v>
      </c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t="s">
        <v>61</v>
      </c>
      <c r="H1" t="s">
        <v>62</v>
      </c>
      <c r="I1" s="1" t="s">
        <v>63</v>
      </c>
      <c r="J1" s="44" t="s">
        <v>64</v>
      </c>
      <c r="K1" s="44" t="s">
        <v>65</v>
      </c>
      <c r="L1" s="1" t="s">
        <v>66</v>
      </c>
      <c r="M1" s="1" t="s">
        <v>67</v>
      </c>
      <c r="N1" s="1" t="s">
        <v>68</v>
      </c>
    </row>
    <row r="2" spans="1:14">
      <c r="A2" s="1" t="s">
        <v>1</v>
      </c>
      <c r="B2" s="1" t="s">
        <v>2</v>
      </c>
      <c r="C2" s="1" t="s">
        <v>3</v>
      </c>
      <c r="D2" s="1" t="s">
        <v>4</v>
      </c>
      <c r="E2" s="1" t="s">
        <v>8062</v>
      </c>
      <c r="F2" s="1" t="s">
        <v>5</v>
      </c>
      <c r="G2" t="s">
        <v>8063</v>
      </c>
      <c r="H2">
        <v>72596937756</v>
      </c>
      <c r="I2" s="1" t="s">
        <v>8064</v>
      </c>
      <c r="J2" s="44" t="s">
        <v>8064</v>
      </c>
      <c r="K2" s="44" t="s">
        <v>5340</v>
      </c>
      <c r="L2" s="1" t="s">
        <v>5405</v>
      </c>
      <c r="M2" s="1" t="s">
        <v>7860</v>
      </c>
      <c r="N2" s="1" t="s">
        <v>8065</v>
      </c>
    </row>
    <row r="3" spans="1:14">
      <c r="A3" s="1" t="s">
        <v>6</v>
      </c>
      <c r="B3" s="1" t="s">
        <v>7</v>
      </c>
      <c r="C3" s="1" t="s">
        <v>8</v>
      </c>
      <c r="D3" s="1" t="s">
        <v>9</v>
      </c>
      <c r="E3" s="1" t="s">
        <v>8066</v>
      </c>
      <c r="F3" s="1" t="s">
        <v>8067</v>
      </c>
      <c r="G3" t="s">
        <v>8068</v>
      </c>
      <c r="H3">
        <v>29410239870</v>
      </c>
      <c r="I3" s="1" t="s">
        <v>8069</v>
      </c>
      <c r="J3" s="44" t="s">
        <v>8069</v>
      </c>
      <c r="K3" s="44" t="s">
        <v>5769</v>
      </c>
      <c r="L3" s="1" t="s">
        <v>6469</v>
      </c>
      <c r="M3" s="1" t="s">
        <v>7664</v>
      </c>
      <c r="N3" s="1" t="s">
        <v>8070</v>
      </c>
    </row>
    <row r="4" spans="1:14">
      <c r="A4" s="1" t="s">
        <v>14</v>
      </c>
      <c r="B4" s="1" t="s">
        <v>15</v>
      </c>
      <c r="C4" s="1" t="s">
        <v>16</v>
      </c>
      <c r="D4" s="1" t="s">
        <v>13</v>
      </c>
      <c r="E4" s="1" t="s">
        <v>8071</v>
      </c>
      <c r="F4" s="1" t="s">
        <v>8072</v>
      </c>
      <c r="G4" t="s">
        <v>8073</v>
      </c>
      <c r="H4">
        <v>9155280798</v>
      </c>
      <c r="I4" s="1" t="s">
        <v>6116</v>
      </c>
      <c r="J4" s="44" t="s">
        <v>6117</v>
      </c>
      <c r="K4" s="44" t="s">
        <v>5672</v>
      </c>
      <c r="L4" s="1" t="s">
        <v>5798</v>
      </c>
      <c r="M4" s="1" t="s">
        <v>6476</v>
      </c>
      <c r="N4" s="1" t="s">
        <v>8074</v>
      </c>
    </row>
    <row r="5" spans="1:14">
      <c r="A5" s="1" t="s">
        <v>10</v>
      </c>
      <c r="B5" s="1" t="s">
        <v>11</v>
      </c>
      <c r="C5" s="1" t="s">
        <v>12</v>
      </c>
      <c r="D5" s="1" t="s">
        <v>17</v>
      </c>
      <c r="E5" s="1" t="s">
        <v>8075</v>
      </c>
      <c r="F5" s="1" t="s">
        <v>8076</v>
      </c>
      <c r="G5" t="s">
        <v>8077</v>
      </c>
      <c r="H5">
        <v>6051410465</v>
      </c>
      <c r="I5" s="1" t="s">
        <v>8078</v>
      </c>
      <c r="J5" s="44" t="s">
        <v>8078</v>
      </c>
      <c r="K5" s="44" t="s">
        <v>5098</v>
      </c>
      <c r="L5" s="1" t="s">
        <v>6987</v>
      </c>
      <c r="M5" s="1" t="s">
        <v>8079</v>
      </c>
      <c r="N5" s="1" t="s">
        <v>8080</v>
      </c>
    </row>
    <row r="6" spans="1:14">
      <c r="A6" s="1" t="s">
        <v>18</v>
      </c>
      <c r="B6" s="1" t="s">
        <v>19</v>
      </c>
      <c r="C6" s="1" t="s">
        <v>20</v>
      </c>
      <c r="D6" s="1" t="s">
        <v>21</v>
      </c>
      <c r="E6" s="1" t="s">
        <v>8081</v>
      </c>
      <c r="F6" s="1" t="s">
        <v>8082</v>
      </c>
      <c r="G6" t="s">
        <v>8083</v>
      </c>
      <c r="H6">
        <v>2769815195</v>
      </c>
      <c r="I6" s="1" t="s">
        <v>8084</v>
      </c>
      <c r="J6" s="44" t="s">
        <v>8084</v>
      </c>
      <c r="K6" s="44" t="s">
        <v>5843</v>
      </c>
      <c r="L6" s="1" t="s">
        <v>5843</v>
      </c>
      <c r="M6" s="1" t="s">
        <v>7725</v>
      </c>
      <c r="N6" s="1" t="s">
        <v>8085</v>
      </c>
    </row>
    <row r="7" spans="1:14">
      <c r="A7" s="1" t="s">
        <v>22</v>
      </c>
      <c r="B7" s="1" t="s">
        <v>23</v>
      </c>
      <c r="C7" s="1" t="s">
        <v>24</v>
      </c>
      <c r="D7" s="1" t="s">
        <v>25</v>
      </c>
      <c r="E7" s="1" t="s">
        <v>8086</v>
      </c>
      <c r="F7" s="1" t="s">
        <v>8087</v>
      </c>
      <c r="G7" t="s">
        <v>8088</v>
      </c>
      <c r="H7">
        <v>2365206757</v>
      </c>
      <c r="I7" s="1" t="s">
        <v>8089</v>
      </c>
      <c r="J7" s="44" t="s">
        <v>8089</v>
      </c>
      <c r="K7" s="44" t="s">
        <v>7406</v>
      </c>
      <c r="L7" s="1" t="s">
        <v>5958</v>
      </c>
      <c r="M7" s="1" t="s">
        <v>7699</v>
      </c>
      <c r="N7" s="1" t="s">
        <v>8090</v>
      </c>
    </row>
    <row r="8" spans="1:14">
      <c r="A8" s="1" t="s">
        <v>26</v>
      </c>
      <c r="B8" s="1" t="s">
        <v>27</v>
      </c>
      <c r="C8" s="1" t="s">
        <v>28</v>
      </c>
      <c r="D8" s="1" t="s">
        <v>29</v>
      </c>
      <c r="E8" s="1" t="s">
        <v>8091</v>
      </c>
      <c r="F8" s="1" t="s">
        <v>8092</v>
      </c>
      <c r="G8" t="s">
        <v>8093</v>
      </c>
      <c r="H8">
        <v>1884294000</v>
      </c>
      <c r="I8" s="1" t="s">
        <v>30</v>
      </c>
      <c r="J8" s="44" t="s">
        <v>30</v>
      </c>
      <c r="K8" s="44" t="s">
        <v>6141</v>
      </c>
      <c r="L8" s="1" t="s">
        <v>7514</v>
      </c>
      <c r="M8" s="1" t="s">
        <v>7649</v>
      </c>
      <c r="N8" s="1" t="s">
        <v>8080</v>
      </c>
    </row>
    <row r="9" spans="1:14">
      <c r="A9" s="1" t="s">
        <v>50</v>
      </c>
      <c r="B9" s="1" t="s">
        <v>51</v>
      </c>
      <c r="C9" s="1" t="s">
        <v>51</v>
      </c>
      <c r="D9" s="1" t="s">
        <v>34</v>
      </c>
      <c r="E9" s="1" t="s">
        <v>8094</v>
      </c>
      <c r="F9" s="1" t="s">
        <v>8095</v>
      </c>
      <c r="G9" t="s">
        <v>8096</v>
      </c>
      <c r="H9">
        <v>1705205000</v>
      </c>
      <c r="I9" s="1" t="s">
        <v>53</v>
      </c>
      <c r="J9" s="44" t="s">
        <v>54</v>
      </c>
      <c r="K9" s="44" t="s">
        <v>5859</v>
      </c>
      <c r="L9" s="1" t="s">
        <v>6360</v>
      </c>
      <c r="M9" s="1" t="s">
        <v>8097</v>
      </c>
      <c r="N9" s="1" t="s">
        <v>8098</v>
      </c>
    </row>
    <row r="10" spans="1:14">
      <c r="A10" s="1" t="s">
        <v>35</v>
      </c>
      <c r="B10" s="1" t="s">
        <v>36</v>
      </c>
      <c r="C10" s="1" t="s">
        <v>37</v>
      </c>
      <c r="D10" s="1" t="s">
        <v>38</v>
      </c>
      <c r="E10" s="1" t="s">
        <v>8099</v>
      </c>
      <c r="F10" s="1" t="s">
        <v>8100</v>
      </c>
      <c r="G10" t="s">
        <v>8101</v>
      </c>
      <c r="H10">
        <v>1439438127</v>
      </c>
      <c r="I10" s="1" t="s">
        <v>39</v>
      </c>
      <c r="J10" s="44" t="s">
        <v>39</v>
      </c>
      <c r="K10" s="44" t="s">
        <v>5761</v>
      </c>
      <c r="L10" s="1" t="s">
        <v>7743</v>
      </c>
      <c r="M10" s="1" t="s">
        <v>7224</v>
      </c>
      <c r="N10" s="1" t="s">
        <v>8102</v>
      </c>
    </row>
    <row r="11" spans="1:14">
      <c r="A11" s="1" t="s">
        <v>31</v>
      </c>
      <c r="B11" s="1" t="s">
        <v>32</v>
      </c>
      <c r="C11" s="1" t="s">
        <v>33</v>
      </c>
      <c r="D11" s="1" t="s">
        <v>43</v>
      </c>
      <c r="E11" s="1" t="s">
        <v>8103</v>
      </c>
      <c r="F11" s="1" t="s">
        <v>8104</v>
      </c>
      <c r="G11" t="s">
        <v>8105</v>
      </c>
      <c r="H11">
        <v>1380184022</v>
      </c>
      <c r="I11" s="1" t="s">
        <v>8106</v>
      </c>
      <c r="J11" s="44" t="s">
        <v>8106</v>
      </c>
      <c r="K11" s="44" t="s">
        <v>6119</v>
      </c>
      <c r="L11" s="1" t="s">
        <v>5536</v>
      </c>
      <c r="M11" s="1" t="s">
        <v>7991</v>
      </c>
      <c r="N11" s="1" t="s">
        <v>8107</v>
      </c>
    </row>
    <row r="12" spans="1:14">
      <c r="A12" s="1" t="s">
        <v>40</v>
      </c>
      <c r="B12" s="1" t="s">
        <v>41</v>
      </c>
      <c r="C12" s="1" t="s">
        <v>42</v>
      </c>
      <c r="D12" s="1" t="s">
        <v>47</v>
      </c>
      <c r="E12" s="1" t="s">
        <v>8108</v>
      </c>
      <c r="F12" s="1" t="s">
        <v>8109</v>
      </c>
      <c r="G12" t="s">
        <v>8110</v>
      </c>
      <c r="H12">
        <v>1174414764</v>
      </c>
      <c r="I12" s="1" t="s">
        <v>8111</v>
      </c>
      <c r="J12" s="44" t="s">
        <v>8111</v>
      </c>
      <c r="K12" s="44" t="s">
        <v>5067</v>
      </c>
      <c r="L12" s="1" t="s">
        <v>5068</v>
      </c>
      <c r="M12" s="1" t="s">
        <v>6595</v>
      </c>
      <c r="N12" s="1" t="s">
        <v>8112</v>
      </c>
    </row>
    <row r="13" spans="1:14">
      <c r="A13" s="1" t="s">
        <v>74</v>
      </c>
      <c r="B13" s="1" t="s">
        <v>75</v>
      </c>
      <c r="C13" s="1" t="s">
        <v>76</v>
      </c>
      <c r="D13" s="1" t="s">
        <v>52</v>
      </c>
      <c r="E13" s="1" t="s">
        <v>8113</v>
      </c>
      <c r="F13" s="1" t="s">
        <v>8114</v>
      </c>
      <c r="G13" t="s">
        <v>8115</v>
      </c>
      <c r="H13">
        <v>978888699</v>
      </c>
      <c r="I13" s="1" t="s">
        <v>8116</v>
      </c>
      <c r="J13" s="44" t="s">
        <v>8117</v>
      </c>
      <c r="K13" s="44" t="s">
        <v>5498</v>
      </c>
      <c r="L13" s="1" t="s">
        <v>5121</v>
      </c>
      <c r="M13" s="1" t="s">
        <v>7775</v>
      </c>
      <c r="N13" s="1" t="s">
        <v>8098</v>
      </c>
    </row>
    <row r="14" spans="1:14">
      <c r="A14" s="1" t="s">
        <v>44</v>
      </c>
      <c r="B14" s="1" t="s">
        <v>45</v>
      </c>
      <c r="C14" s="1" t="s">
        <v>46</v>
      </c>
      <c r="D14" s="1" t="s">
        <v>72</v>
      </c>
      <c r="E14" s="1" t="s">
        <v>8118</v>
      </c>
      <c r="F14" s="1" t="s">
        <v>8119</v>
      </c>
      <c r="G14" t="s">
        <v>8120</v>
      </c>
      <c r="H14">
        <v>843177006</v>
      </c>
      <c r="I14" s="1" t="s">
        <v>48</v>
      </c>
      <c r="J14" s="44" t="s">
        <v>49</v>
      </c>
      <c r="K14" s="44" t="s">
        <v>5067</v>
      </c>
      <c r="L14" s="1" t="s">
        <v>5651</v>
      </c>
      <c r="M14" s="1" t="s">
        <v>6657</v>
      </c>
      <c r="N14" s="1" t="s">
        <v>8121</v>
      </c>
    </row>
    <row r="15" spans="1:14">
      <c r="A15" s="1" t="s">
        <v>69</v>
      </c>
      <c r="B15" s="1" t="s">
        <v>70</v>
      </c>
      <c r="C15" s="1" t="s">
        <v>71</v>
      </c>
      <c r="D15" s="1" t="s">
        <v>77</v>
      </c>
      <c r="E15" s="1" t="s">
        <v>8122</v>
      </c>
      <c r="F15" s="1" t="s">
        <v>8123</v>
      </c>
      <c r="G15" t="s">
        <v>8124</v>
      </c>
      <c r="H15">
        <v>695049500</v>
      </c>
      <c r="I15" s="1" t="s">
        <v>73</v>
      </c>
      <c r="J15" s="44" t="s">
        <v>54</v>
      </c>
      <c r="K15" s="44" t="s">
        <v>5387</v>
      </c>
      <c r="L15" s="1" t="s">
        <v>5488</v>
      </c>
      <c r="M15" s="1" t="s">
        <v>5912</v>
      </c>
      <c r="N15" s="1" t="s">
        <v>8102</v>
      </c>
    </row>
    <row r="16" spans="1:14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8125</v>
      </c>
      <c r="F16" s="1" t="s">
        <v>8126</v>
      </c>
      <c r="G16" t="s">
        <v>8127</v>
      </c>
      <c r="H16">
        <v>600412719</v>
      </c>
      <c r="I16" s="1" t="s">
        <v>8128</v>
      </c>
      <c r="J16" s="44" t="s">
        <v>8128</v>
      </c>
      <c r="K16" s="44" t="s">
        <v>5860</v>
      </c>
      <c r="L16" s="1" t="s">
        <v>5874</v>
      </c>
      <c r="M16" s="1" t="s">
        <v>5996</v>
      </c>
      <c r="N16" s="1" t="s">
        <v>8070</v>
      </c>
    </row>
    <row r="17" spans="1:14">
      <c r="A17" s="1" t="s">
        <v>86</v>
      </c>
      <c r="B17" s="1" t="s">
        <v>87</v>
      </c>
      <c r="C17" s="1" t="s">
        <v>88</v>
      </c>
      <c r="D17" s="1" t="s">
        <v>85</v>
      </c>
      <c r="E17" s="1" t="s">
        <v>8129</v>
      </c>
      <c r="F17" s="1" t="s">
        <v>8130</v>
      </c>
      <c r="G17" t="s">
        <v>8131</v>
      </c>
      <c r="H17">
        <v>582155296</v>
      </c>
      <c r="I17" s="1" t="s">
        <v>8132</v>
      </c>
      <c r="J17" s="44" t="s">
        <v>8132</v>
      </c>
      <c r="K17" s="44" t="s">
        <v>5643</v>
      </c>
      <c r="L17" s="1" t="s">
        <v>7344</v>
      </c>
      <c r="M17" s="1" t="s">
        <v>5787</v>
      </c>
      <c r="N17" s="1" t="s">
        <v>8133</v>
      </c>
    </row>
    <row r="18" spans="1:14">
      <c r="A18" s="1" t="s">
        <v>90</v>
      </c>
      <c r="B18" s="1" t="s">
        <v>91</v>
      </c>
      <c r="C18" s="1" t="s">
        <v>92</v>
      </c>
      <c r="D18" s="1" t="s">
        <v>89</v>
      </c>
      <c r="E18" s="1" t="s">
        <v>8134</v>
      </c>
      <c r="F18" s="1" t="s">
        <v>8135</v>
      </c>
      <c r="G18" t="s">
        <v>8136</v>
      </c>
      <c r="H18">
        <v>500549000</v>
      </c>
      <c r="I18" s="1" t="s">
        <v>54</v>
      </c>
      <c r="J18" s="44" t="s">
        <v>54</v>
      </c>
      <c r="K18" s="44" t="s">
        <v>3488</v>
      </c>
      <c r="L18" s="1" t="s">
        <v>6124</v>
      </c>
      <c r="M18" s="1" t="s">
        <v>7010</v>
      </c>
      <c r="N18" s="1" t="s">
        <v>8137</v>
      </c>
    </row>
    <row r="19" spans="1:14">
      <c r="A19" s="1" t="s">
        <v>5242</v>
      </c>
      <c r="B19" s="1" t="s">
        <v>5243</v>
      </c>
      <c r="C19" s="1" t="s">
        <v>5244</v>
      </c>
      <c r="D19" s="1" t="s">
        <v>93</v>
      </c>
      <c r="E19" s="1" t="s">
        <v>8138</v>
      </c>
      <c r="F19" s="1" t="s">
        <v>6967</v>
      </c>
      <c r="G19" t="s">
        <v>8139</v>
      </c>
      <c r="H19">
        <v>465297579</v>
      </c>
      <c r="I19" s="1" t="s">
        <v>5489</v>
      </c>
      <c r="J19" s="44" t="s">
        <v>5490</v>
      </c>
      <c r="K19" s="44" t="s">
        <v>5763</v>
      </c>
      <c r="L19" s="1" t="s">
        <v>6044</v>
      </c>
      <c r="M19" s="1"/>
      <c r="N19" s="1" t="s">
        <v>8140</v>
      </c>
    </row>
    <row r="20" spans="1:14">
      <c r="A20" s="1" t="s">
        <v>99</v>
      </c>
      <c r="B20" s="1" t="s">
        <v>100</v>
      </c>
      <c r="C20" s="1" t="s">
        <v>101</v>
      </c>
      <c r="D20" s="1" t="s">
        <v>97</v>
      </c>
      <c r="E20" s="1" t="s">
        <v>8141</v>
      </c>
      <c r="F20" s="1" t="s">
        <v>8142</v>
      </c>
      <c r="G20" t="s">
        <v>8143</v>
      </c>
      <c r="H20">
        <v>435631070</v>
      </c>
      <c r="I20" s="1" t="s">
        <v>5245</v>
      </c>
      <c r="J20" s="44" t="s">
        <v>4911</v>
      </c>
      <c r="K20" s="44" t="s">
        <v>851</v>
      </c>
      <c r="L20" s="1" t="s">
        <v>5379</v>
      </c>
      <c r="M20" s="1" t="s">
        <v>5130</v>
      </c>
      <c r="N20" s="1" t="s">
        <v>8090</v>
      </c>
    </row>
    <row r="21" spans="1:14">
      <c r="A21" s="1" t="s">
        <v>82</v>
      </c>
      <c r="B21" s="1" t="s">
        <v>83</v>
      </c>
      <c r="C21" s="1" t="s">
        <v>84</v>
      </c>
      <c r="D21" s="1" t="s">
        <v>102</v>
      </c>
      <c r="E21" s="1" t="s">
        <v>8144</v>
      </c>
      <c r="F21" s="1" t="s">
        <v>8145</v>
      </c>
      <c r="G21" t="s">
        <v>8146</v>
      </c>
      <c r="H21">
        <v>359164022</v>
      </c>
      <c r="I21" s="1" t="s">
        <v>8147</v>
      </c>
      <c r="J21" s="44" t="s">
        <v>8147</v>
      </c>
      <c r="K21" s="44" t="s">
        <v>5865</v>
      </c>
      <c r="L21" s="1" t="s">
        <v>5657</v>
      </c>
      <c r="M21" s="1" t="s">
        <v>7831</v>
      </c>
      <c r="N21" s="1" t="s">
        <v>8112</v>
      </c>
    </row>
    <row r="22" spans="1:14">
      <c r="A22" s="1" t="s">
        <v>120</v>
      </c>
      <c r="B22" s="1" t="s">
        <v>121</v>
      </c>
      <c r="C22" s="1" t="s">
        <v>122</v>
      </c>
      <c r="D22" s="1" t="s">
        <v>106</v>
      </c>
      <c r="E22" s="1" t="s">
        <v>8148</v>
      </c>
      <c r="F22" s="1" t="s">
        <v>6372</v>
      </c>
      <c r="G22" t="s">
        <v>8149</v>
      </c>
      <c r="H22">
        <v>353214517</v>
      </c>
      <c r="I22" s="1" t="s">
        <v>6527</v>
      </c>
      <c r="J22" s="44" t="s">
        <v>5417</v>
      </c>
      <c r="K22" s="44" t="s">
        <v>7037</v>
      </c>
      <c r="L22" s="1" t="s">
        <v>8150</v>
      </c>
      <c r="M22" s="1" t="s">
        <v>8151</v>
      </c>
      <c r="N22" s="1" t="s">
        <v>8152</v>
      </c>
    </row>
    <row r="23" spans="1:14">
      <c r="A23" s="1" t="s">
        <v>116</v>
      </c>
      <c r="B23" s="1" t="s">
        <v>117</v>
      </c>
      <c r="C23" s="1" t="s">
        <v>118</v>
      </c>
      <c r="D23" s="1" t="s">
        <v>110</v>
      </c>
      <c r="E23" s="1" t="s">
        <v>8153</v>
      </c>
      <c r="F23" s="1" t="s">
        <v>8154</v>
      </c>
      <c r="G23" t="s">
        <v>8155</v>
      </c>
      <c r="H23">
        <v>297965169</v>
      </c>
      <c r="I23" s="1" t="s">
        <v>8156</v>
      </c>
      <c r="J23" s="44" t="s">
        <v>8157</v>
      </c>
      <c r="K23" s="44" t="s">
        <v>5865</v>
      </c>
      <c r="L23" s="1" t="s">
        <v>7822</v>
      </c>
      <c r="M23" s="1" t="s">
        <v>6336</v>
      </c>
      <c r="N23" s="1" t="s">
        <v>8137</v>
      </c>
    </row>
    <row r="24" spans="1:14">
      <c r="A24" s="1" t="s">
        <v>103</v>
      </c>
      <c r="B24" s="1" t="s">
        <v>104</v>
      </c>
      <c r="C24" s="1" t="s">
        <v>105</v>
      </c>
      <c r="D24" s="1" t="s">
        <v>115</v>
      </c>
      <c r="E24" s="1" t="s">
        <v>8158</v>
      </c>
      <c r="F24" s="1" t="s">
        <v>8159</v>
      </c>
      <c r="G24" t="s">
        <v>8160</v>
      </c>
      <c r="H24">
        <v>253441329</v>
      </c>
      <c r="I24" s="1" t="s">
        <v>5611</v>
      </c>
      <c r="J24" s="44" t="s">
        <v>5612</v>
      </c>
      <c r="K24" s="44" t="s">
        <v>5688</v>
      </c>
      <c r="L24" s="1" t="s">
        <v>5835</v>
      </c>
      <c r="M24" s="1" t="s">
        <v>8161</v>
      </c>
      <c r="N24" s="1" t="s">
        <v>8162</v>
      </c>
    </row>
    <row r="25" spans="1:14">
      <c r="A25" s="1" t="s">
        <v>5124</v>
      </c>
      <c r="B25" s="1" t="s">
        <v>5125</v>
      </c>
      <c r="C25" s="1" t="s">
        <v>3671</v>
      </c>
      <c r="D25" s="1" t="s">
        <v>119</v>
      </c>
      <c r="E25" s="1" t="s">
        <v>8163</v>
      </c>
      <c r="F25" s="1" t="s">
        <v>8164</v>
      </c>
      <c r="G25" t="s">
        <v>8165</v>
      </c>
      <c r="H25">
        <v>249508464</v>
      </c>
      <c r="I25" s="1" t="s">
        <v>5199</v>
      </c>
      <c r="J25" s="44" t="s">
        <v>5126</v>
      </c>
      <c r="K25" s="44" t="s">
        <v>5547</v>
      </c>
      <c r="L25" s="1" t="s">
        <v>7481</v>
      </c>
      <c r="M25" s="1" t="s">
        <v>5994</v>
      </c>
      <c r="N25" s="1" t="s">
        <v>8140</v>
      </c>
    </row>
    <row r="26" spans="1:14">
      <c r="A26" s="1" t="s">
        <v>94</v>
      </c>
      <c r="B26" s="1" t="s">
        <v>95</v>
      </c>
      <c r="C26" s="1" t="s">
        <v>96</v>
      </c>
      <c r="D26" s="1" t="s">
        <v>123</v>
      </c>
      <c r="E26" s="1" t="s">
        <v>8166</v>
      </c>
      <c r="F26" s="1" t="s">
        <v>8167</v>
      </c>
      <c r="G26" t="s">
        <v>8168</v>
      </c>
      <c r="H26">
        <v>243449328</v>
      </c>
      <c r="I26" s="1" t="s">
        <v>8169</v>
      </c>
      <c r="J26" s="44" t="s">
        <v>8170</v>
      </c>
      <c r="K26" s="44" t="s">
        <v>5048</v>
      </c>
      <c r="L26" s="1" t="s">
        <v>6502</v>
      </c>
      <c r="M26" s="1" t="s">
        <v>7156</v>
      </c>
      <c r="N26" s="1" t="s">
        <v>8171</v>
      </c>
    </row>
    <row r="27" spans="1:14">
      <c r="A27" s="1" t="s">
        <v>107</v>
      </c>
      <c r="B27" s="1" t="s">
        <v>108</v>
      </c>
      <c r="C27" s="1" t="s">
        <v>109</v>
      </c>
      <c r="D27" s="1" t="s">
        <v>127</v>
      </c>
      <c r="E27" s="1" t="s">
        <v>8172</v>
      </c>
      <c r="F27" s="1" t="s">
        <v>2995</v>
      </c>
      <c r="G27" t="s">
        <v>7930</v>
      </c>
      <c r="H27">
        <v>239114710</v>
      </c>
      <c r="I27" s="1" t="s">
        <v>111</v>
      </c>
      <c r="J27" s="44" t="s">
        <v>111</v>
      </c>
      <c r="K27" s="44" t="s">
        <v>5690</v>
      </c>
      <c r="L27" s="1" t="s">
        <v>7074</v>
      </c>
      <c r="M27" s="1" t="s">
        <v>5748</v>
      </c>
      <c r="N27" s="1" t="s">
        <v>8173</v>
      </c>
    </row>
    <row r="28" spans="1:14">
      <c r="A28" s="1" t="s">
        <v>299</v>
      </c>
      <c r="B28" s="1" t="s">
        <v>300</v>
      </c>
      <c r="C28" s="1" t="s">
        <v>301</v>
      </c>
      <c r="D28" s="1" t="s">
        <v>132</v>
      </c>
      <c r="E28" s="1" t="s">
        <v>8174</v>
      </c>
      <c r="F28" s="1" t="s">
        <v>8175</v>
      </c>
      <c r="G28" t="s">
        <v>8176</v>
      </c>
      <c r="H28">
        <v>234476513</v>
      </c>
      <c r="I28" s="1" t="s">
        <v>8177</v>
      </c>
      <c r="J28" s="44" t="s">
        <v>8178</v>
      </c>
      <c r="K28" s="44" t="s">
        <v>6032</v>
      </c>
      <c r="L28" s="1" t="s">
        <v>8179</v>
      </c>
      <c r="M28" s="1" t="s">
        <v>6379</v>
      </c>
      <c r="N28" s="1" t="s">
        <v>8121</v>
      </c>
    </row>
    <row r="29" spans="1:14">
      <c r="A29" s="1" t="s">
        <v>135</v>
      </c>
      <c r="B29" s="1" t="s">
        <v>136</v>
      </c>
      <c r="C29" s="1" t="s">
        <v>136</v>
      </c>
      <c r="D29" s="1" t="s">
        <v>137</v>
      </c>
      <c r="E29" s="1" t="s">
        <v>8180</v>
      </c>
      <c r="F29" s="1" t="s">
        <v>7294</v>
      </c>
      <c r="G29" t="s">
        <v>8181</v>
      </c>
      <c r="H29">
        <v>231874078</v>
      </c>
      <c r="I29" s="1" t="s">
        <v>8182</v>
      </c>
      <c r="J29" s="44" t="s">
        <v>138</v>
      </c>
      <c r="K29" s="44" t="s">
        <v>5003</v>
      </c>
      <c r="L29" s="1" t="s">
        <v>5655</v>
      </c>
      <c r="M29" s="1" t="s">
        <v>7237</v>
      </c>
      <c r="N29" s="1" t="s">
        <v>8121</v>
      </c>
    </row>
    <row r="30" spans="1:14">
      <c r="A30" s="1" t="s">
        <v>155</v>
      </c>
      <c r="B30" s="1" t="s">
        <v>156</v>
      </c>
      <c r="C30" s="1" t="s">
        <v>157</v>
      </c>
      <c r="D30" s="1" t="s">
        <v>142</v>
      </c>
      <c r="E30" s="1" t="s">
        <v>8183</v>
      </c>
      <c r="F30" s="1" t="s">
        <v>8184</v>
      </c>
      <c r="G30" t="s">
        <v>8185</v>
      </c>
      <c r="H30">
        <v>225791000</v>
      </c>
      <c r="I30" s="1" t="s">
        <v>138</v>
      </c>
      <c r="J30" s="44" t="s">
        <v>159</v>
      </c>
      <c r="K30" s="44" t="s">
        <v>7365</v>
      </c>
      <c r="L30" s="1" t="s">
        <v>7034</v>
      </c>
      <c r="M30" s="1" t="s">
        <v>5943</v>
      </c>
      <c r="N30" s="1" t="s">
        <v>8186</v>
      </c>
    </row>
    <row r="31" spans="1:14">
      <c r="A31" s="1" t="s">
        <v>144</v>
      </c>
      <c r="B31" s="1" t="s">
        <v>145</v>
      </c>
      <c r="C31" s="1" t="s">
        <v>146</v>
      </c>
      <c r="D31" s="1" t="s">
        <v>147</v>
      </c>
      <c r="E31" s="1" t="s">
        <v>8187</v>
      </c>
      <c r="F31" s="1" t="s">
        <v>8188</v>
      </c>
      <c r="G31" t="s">
        <v>8189</v>
      </c>
      <c r="H31">
        <v>222425500</v>
      </c>
      <c r="I31" s="1" t="s">
        <v>148</v>
      </c>
      <c r="J31" s="44" t="s">
        <v>148</v>
      </c>
      <c r="K31" s="44" t="s">
        <v>6046</v>
      </c>
      <c r="L31" s="1" t="s">
        <v>7800</v>
      </c>
      <c r="M31" s="1" t="s">
        <v>7249</v>
      </c>
      <c r="N31" s="1" t="s">
        <v>8190</v>
      </c>
    </row>
    <row r="32" spans="1:14">
      <c r="A32" s="1" t="s">
        <v>129</v>
      </c>
      <c r="B32" s="1" t="s">
        <v>130</v>
      </c>
      <c r="C32" s="1" t="s">
        <v>131</v>
      </c>
      <c r="D32" s="1" t="s">
        <v>152</v>
      </c>
      <c r="E32" s="1" t="s">
        <v>8191</v>
      </c>
      <c r="F32" s="1" t="s">
        <v>8192</v>
      </c>
      <c r="G32" t="s">
        <v>8193</v>
      </c>
      <c r="H32">
        <v>220772567</v>
      </c>
      <c r="I32" s="1" t="s">
        <v>133</v>
      </c>
      <c r="J32" s="44" t="s">
        <v>134</v>
      </c>
      <c r="K32" s="44" t="s">
        <v>5110</v>
      </c>
      <c r="L32" s="1" t="s">
        <v>7263</v>
      </c>
      <c r="M32" s="1" t="s">
        <v>7271</v>
      </c>
      <c r="N32" s="1" t="s">
        <v>8121</v>
      </c>
    </row>
    <row r="33" spans="1:14">
      <c r="A33" s="1" t="s">
        <v>124</v>
      </c>
      <c r="B33" s="1" t="s">
        <v>125</v>
      </c>
      <c r="C33" s="1" t="s">
        <v>126</v>
      </c>
      <c r="D33" s="1" t="s">
        <v>158</v>
      </c>
      <c r="E33" s="1" t="s">
        <v>8194</v>
      </c>
      <c r="F33" s="1" t="s">
        <v>8195</v>
      </c>
      <c r="G33" t="s">
        <v>8196</v>
      </c>
      <c r="H33">
        <v>209604175</v>
      </c>
      <c r="I33" s="1" t="s">
        <v>128</v>
      </c>
      <c r="J33" s="44" t="s">
        <v>128</v>
      </c>
      <c r="K33" s="44" t="s">
        <v>5767</v>
      </c>
      <c r="L33" s="1" t="s">
        <v>5</v>
      </c>
      <c r="M33" s="1" t="s">
        <v>7245</v>
      </c>
      <c r="N33" s="1" t="s">
        <v>8107</v>
      </c>
    </row>
    <row r="34" spans="1:14">
      <c r="A34" s="1" t="s">
        <v>170</v>
      </c>
      <c r="B34" s="1" t="s">
        <v>171</v>
      </c>
      <c r="C34" s="1" t="s">
        <v>171</v>
      </c>
      <c r="D34" s="1" t="s">
        <v>163</v>
      </c>
      <c r="E34" s="1" t="s">
        <v>8197</v>
      </c>
      <c r="F34" s="1" t="s">
        <v>8198</v>
      </c>
      <c r="G34" t="s">
        <v>8199</v>
      </c>
      <c r="H34">
        <v>197825302</v>
      </c>
      <c r="I34" s="1" t="s">
        <v>8200</v>
      </c>
      <c r="J34" s="44" t="s">
        <v>8200</v>
      </c>
      <c r="K34" s="44" t="s">
        <v>5665</v>
      </c>
      <c r="L34" s="1" t="s">
        <v>7524</v>
      </c>
      <c r="M34" s="1" t="s">
        <v>7246</v>
      </c>
      <c r="N34" s="1" t="s">
        <v>8070</v>
      </c>
    </row>
    <row r="35" spans="1:14">
      <c r="A35" s="1" t="s">
        <v>5246</v>
      </c>
      <c r="B35" s="1" t="s">
        <v>5247</v>
      </c>
      <c r="C35" s="1" t="s">
        <v>5247</v>
      </c>
      <c r="D35" s="1" t="s">
        <v>168</v>
      </c>
      <c r="E35" s="1" t="s">
        <v>8201</v>
      </c>
      <c r="F35" s="1" t="s">
        <v>8202</v>
      </c>
      <c r="G35" t="s">
        <v>8203</v>
      </c>
      <c r="H35">
        <v>197428145</v>
      </c>
      <c r="I35" s="1" t="s">
        <v>5610</v>
      </c>
      <c r="J35" s="44" t="s">
        <v>5248</v>
      </c>
      <c r="K35" s="44" t="s">
        <v>7260</v>
      </c>
      <c r="L35" s="1" t="s">
        <v>6189</v>
      </c>
      <c r="M35" s="1" t="s">
        <v>8204</v>
      </c>
      <c r="N35" s="1" t="s">
        <v>8140</v>
      </c>
    </row>
    <row r="36" spans="1:14">
      <c r="A36" s="1" t="s">
        <v>235</v>
      </c>
      <c r="B36" s="1" t="s">
        <v>236</v>
      </c>
      <c r="C36" s="1" t="s">
        <v>237</v>
      </c>
      <c r="D36" s="1" t="s">
        <v>172</v>
      </c>
      <c r="E36" s="1" t="s">
        <v>8205</v>
      </c>
      <c r="F36" s="1" t="s">
        <v>8206</v>
      </c>
      <c r="G36" t="s">
        <v>8207</v>
      </c>
      <c r="H36">
        <v>189624090</v>
      </c>
      <c r="I36" s="1" t="s">
        <v>239</v>
      </c>
      <c r="J36" s="44" t="s">
        <v>239</v>
      </c>
      <c r="K36" s="44" t="s">
        <v>5761</v>
      </c>
      <c r="L36" s="1" t="s">
        <v>5410</v>
      </c>
      <c r="M36" s="1" t="s">
        <v>6260</v>
      </c>
      <c r="N36" s="1" t="s">
        <v>8137</v>
      </c>
    </row>
    <row r="37" spans="1:14">
      <c r="A37" s="1" t="s">
        <v>356</v>
      </c>
      <c r="B37" s="1" t="s">
        <v>357</v>
      </c>
      <c r="C37" s="1" t="s">
        <v>358</v>
      </c>
      <c r="D37" s="1" t="s">
        <v>176</v>
      </c>
      <c r="E37" s="1" t="s">
        <v>8208</v>
      </c>
      <c r="F37" s="1" t="s">
        <v>8209</v>
      </c>
      <c r="G37" t="s">
        <v>8210</v>
      </c>
      <c r="H37">
        <v>189034188</v>
      </c>
      <c r="I37" s="1" t="s">
        <v>360</v>
      </c>
      <c r="J37" s="44" t="s">
        <v>361</v>
      </c>
      <c r="K37" s="44" t="s">
        <v>5773</v>
      </c>
      <c r="L37" s="1" t="s">
        <v>8211</v>
      </c>
      <c r="M37" s="1" t="s">
        <v>8212</v>
      </c>
      <c r="N37" s="1" t="s">
        <v>8213</v>
      </c>
    </row>
    <row r="38" spans="1:14">
      <c r="A38" s="1" t="s">
        <v>139</v>
      </c>
      <c r="B38" s="1" t="s">
        <v>140</v>
      </c>
      <c r="C38" s="1" t="s">
        <v>141</v>
      </c>
      <c r="D38" s="1" t="s">
        <v>180</v>
      </c>
      <c r="E38" s="1" t="s">
        <v>8214</v>
      </c>
      <c r="F38" s="1" t="s">
        <v>7674</v>
      </c>
      <c r="G38" t="s">
        <v>8215</v>
      </c>
      <c r="H38">
        <v>187769578</v>
      </c>
      <c r="I38" s="1" t="s">
        <v>143</v>
      </c>
      <c r="J38" s="44" t="s">
        <v>138</v>
      </c>
      <c r="K38" s="44" t="s">
        <v>5122</v>
      </c>
      <c r="L38" s="1" t="s">
        <v>7002</v>
      </c>
      <c r="M38" s="1" t="s">
        <v>7925</v>
      </c>
      <c r="N38" s="1" t="s">
        <v>8133</v>
      </c>
    </row>
    <row r="39" spans="1:14">
      <c r="A39" s="1" t="s">
        <v>5258</v>
      </c>
      <c r="B39" s="1" t="s">
        <v>5259</v>
      </c>
      <c r="C39" s="1" t="s">
        <v>4958</v>
      </c>
      <c r="D39" s="1" t="s">
        <v>185</v>
      </c>
      <c r="E39" s="1" t="s">
        <v>8216</v>
      </c>
      <c r="F39" s="1" t="s">
        <v>5305</v>
      </c>
      <c r="G39" t="s">
        <v>8217</v>
      </c>
      <c r="H39">
        <v>187489526</v>
      </c>
      <c r="I39" s="1" t="s">
        <v>6130</v>
      </c>
      <c r="J39" s="44" t="s">
        <v>1204</v>
      </c>
      <c r="K39" s="44" t="s">
        <v>7055</v>
      </c>
      <c r="L39" s="1" t="s">
        <v>7055</v>
      </c>
      <c r="M39" s="1" t="s">
        <v>8218</v>
      </c>
      <c r="N39" s="1" t="s">
        <v>8213</v>
      </c>
    </row>
    <row r="40" spans="1:14">
      <c r="A40" s="1" t="s">
        <v>177</v>
      </c>
      <c r="B40" s="1" t="s">
        <v>178</v>
      </c>
      <c r="C40" s="1" t="s">
        <v>179</v>
      </c>
      <c r="D40" s="1" t="s">
        <v>189</v>
      </c>
      <c r="E40" s="1" t="s">
        <v>8219</v>
      </c>
      <c r="F40" s="1" t="s">
        <v>8220</v>
      </c>
      <c r="G40" t="s">
        <v>8221</v>
      </c>
      <c r="H40">
        <v>185984481</v>
      </c>
      <c r="I40" s="1" t="s">
        <v>181</v>
      </c>
      <c r="J40" s="44" t="s">
        <v>181</v>
      </c>
      <c r="K40" s="44" t="s">
        <v>5757</v>
      </c>
      <c r="L40" s="1" t="s">
        <v>8044</v>
      </c>
      <c r="M40" s="1" t="s">
        <v>8222</v>
      </c>
      <c r="N40" s="1" t="s">
        <v>8098</v>
      </c>
    </row>
    <row r="41" spans="1:14">
      <c r="A41" s="1" t="s">
        <v>160</v>
      </c>
      <c r="B41" s="1" t="s">
        <v>161</v>
      </c>
      <c r="C41" s="1" t="s">
        <v>162</v>
      </c>
      <c r="D41" s="1" t="s">
        <v>193</v>
      </c>
      <c r="E41" s="1" t="s">
        <v>8223</v>
      </c>
      <c r="F41" s="1" t="s">
        <v>8224</v>
      </c>
      <c r="G41" t="s">
        <v>8225</v>
      </c>
      <c r="H41">
        <v>184709085</v>
      </c>
      <c r="I41" s="1" t="s">
        <v>164</v>
      </c>
      <c r="J41" s="44" t="s">
        <v>164</v>
      </c>
      <c r="K41" s="44" t="s">
        <v>5500</v>
      </c>
      <c r="L41" s="1" t="s">
        <v>7463</v>
      </c>
      <c r="M41" s="1" t="s">
        <v>7432</v>
      </c>
      <c r="N41" s="1" t="s">
        <v>8098</v>
      </c>
    </row>
    <row r="42" spans="1:14">
      <c r="A42" s="1" t="s">
        <v>200</v>
      </c>
      <c r="B42" s="1" t="s">
        <v>201</v>
      </c>
      <c r="C42" s="1" t="s">
        <v>202</v>
      </c>
      <c r="D42" s="1" t="s">
        <v>197</v>
      </c>
      <c r="E42" s="1" t="s">
        <v>8226</v>
      </c>
      <c r="F42" s="1" t="s">
        <v>8227</v>
      </c>
      <c r="G42" t="s">
        <v>8228</v>
      </c>
      <c r="H42">
        <v>177209573</v>
      </c>
      <c r="I42" s="1" t="s">
        <v>8229</v>
      </c>
      <c r="J42" s="44" t="s">
        <v>8230</v>
      </c>
      <c r="K42" s="44" t="s">
        <v>5855</v>
      </c>
      <c r="L42" s="1" t="s">
        <v>5906</v>
      </c>
      <c r="M42" s="1" t="s">
        <v>7965</v>
      </c>
      <c r="N42" s="1" t="s">
        <v>8137</v>
      </c>
    </row>
    <row r="43" spans="1:14">
      <c r="A43" s="1" t="s">
        <v>5084</v>
      </c>
      <c r="B43" s="1" t="s">
        <v>5085</v>
      </c>
      <c r="C43" s="1" t="s">
        <v>5086</v>
      </c>
      <c r="D43" s="1" t="s">
        <v>203</v>
      </c>
      <c r="E43" s="1" t="s">
        <v>8231</v>
      </c>
      <c r="F43" s="1" t="s">
        <v>8232</v>
      </c>
      <c r="G43" t="s">
        <v>8233</v>
      </c>
      <c r="H43">
        <v>164992800</v>
      </c>
      <c r="I43" s="1" t="s">
        <v>5087</v>
      </c>
      <c r="J43" s="44" t="s">
        <v>138</v>
      </c>
      <c r="K43" s="44" t="s">
        <v>7363</v>
      </c>
      <c r="L43" s="1" t="s">
        <v>6780</v>
      </c>
      <c r="M43" s="1" t="s">
        <v>8234</v>
      </c>
      <c r="N43" s="1" t="s">
        <v>8140</v>
      </c>
    </row>
    <row r="44" spans="1:14">
      <c r="A44" s="1" t="s">
        <v>112</v>
      </c>
      <c r="B44" s="1" t="s">
        <v>113</v>
      </c>
      <c r="C44" s="1" t="s">
        <v>114</v>
      </c>
      <c r="D44" s="1" t="s">
        <v>207</v>
      </c>
      <c r="E44" s="1" t="s">
        <v>8235</v>
      </c>
      <c r="F44" s="1" t="s">
        <v>8236</v>
      </c>
      <c r="G44" t="s">
        <v>8237</v>
      </c>
      <c r="H44">
        <v>155703821</v>
      </c>
      <c r="I44" s="1" t="s">
        <v>7503</v>
      </c>
      <c r="J44" s="44" t="s">
        <v>7503</v>
      </c>
      <c r="K44" s="44" t="s">
        <v>5780</v>
      </c>
      <c r="L44" s="1" t="s">
        <v>7053</v>
      </c>
      <c r="M44" s="1" t="s">
        <v>7190</v>
      </c>
      <c r="N44" s="1" t="s">
        <v>8173</v>
      </c>
    </row>
    <row r="45" spans="1:14">
      <c r="A45" s="1" t="s">
        <v>165</v>
      </c>
      <c r="B45" s="1" t="s">
        <v>166</v>
      </c>
      <c r="C45" s="1" t="s">
        <v>167</v>
      </c>
      <c r="D45" s="1" t="s">
        <v>212</v>
      </c>
      <c r="E45" s="1" t="s">
        <v>7926</v>
      </c>
      <c r="F45" s="1" t="s">
        <v>8238</v>
      </c>
      <c r="G45" t="s">
        <v>8239</v>
      </c>
      <c r="H45">
        <v>155480043</v>
      </c>
      <c r="I45" s="1" t="s">
        <v>169</v>
      </c>
      <c r="J45" s="44" t="s">
        <v>169</v>
      </c>
      <c r="K45" s="44" t="s">
        <v>5098</v>
      </c>
      <c r="L45" s="1" t="s">
        <v>5006</v>
      </c>
      <c r="M45" s="1" t="s">
        <v>7146</v>
      </c>
      <c r="N45" s="1" t="s">
        <v>8070</v>
      </c>
    </row>
    <row r="46" spans="1:14">
      <c r="A46" s="1" t="s">
        <v>251</v>
      </c>
      <c r="B46" s="1" t="s">
        <v>252</v>
      </c>
      <c r="C46" s="1" t="s">
        <v>253</v>
      </c>
      <c r="D46" s="1" t="s">
        <v>216</v>
      </c>
      <c r="E46" s="1" t="s">
        <v>8240</v>
      </c>
      <c r="F46" s="1" t="s">
        <v>8241</v>
      </c>
      <c r="G46" t="s">
        <v>8242</v>
      </c>
      <c r="H46">
        <v>154195423</v>
      </c>
      <c r="I46" s="1" t="s">
        <v>5249</v>
      </c>
      <c r="J46" s="44" t="s">
        <v>5249</v>
      </c>
      <c r="K46" s="44" t="s">
        <v>5065</v>
      </c>
      <c r="L46" s="1" t="s">
        <v>6992</v>
      </c>
      <c r="M46" s="1" t="s">
        <v>7447</v>
      </c>
      <c r="N46" s="1" t="s">
        <v>8090</v>
      </c>
    </row>
    <row r="47" spans="1:14">
      <c r="A47" s="1" t="s">
        <v>255</v>
      </c>
      <c r="B47" s="1" t="s">
        <v>256</v>
      </c>
      <c r="C47" s="1" t="s">
        <v>257</v>
      </c>
      <c r="D47" s="1" t="s">
        <v>220</v>
      </c>
      <c r="E47" s="1" t="s">
        <v>8243</v>
      </c>
      <c r="F47" s="1" t="s">
        <v>8244</v>
      </c>
      <c r="G47" t="s">
        <v>8245</v>
      </c>
      <c r="H47">
        <v>153484000</v>
      </c>
      <c r="I47" s="1" t="s">
        <v>54</v>
      </c>
      <c r="J47" s="44" t="s">
        <v>259</v>
      </c>
      <c r="K47" s="44" t="s">
        <v>5210</v>
      </c>
      <c r="L47" s="1" t="s">
        <v>6634</v>
      </c>
      <c r="M47" s="1" t="s">
        <v>7937</v>
      </c>
      <c r="N47" s="1" t="s">
        <v>8080</v>
      </c>
    </row>
    <row r="48" spans="1:14">
      <c r="A48" s="1" t="s">
        <v>149</v>
      </c>
      <c r="B48" s="1" t="s">
        <v>150</v>
      </c>
      <c r="C48" s="1" t="s">
        <v>151</v>
      </c>
      <c r="D48" s="1" t="s">
        <v>224</v>
      </c>
      <c r="E48" s="1" t="s">
        <v>8246</v>
      </c>
      <c r="F48" s="1" t="s">
        <v>8247</v>
      </c>
      <c r="G48" t="s">
        <v>8248</v>
      </c>
      <c r="H48">
        <v>146877090</v>
      </c>
      <c r="I48" s="1" t="s">
        <v>153</v>
      </c>
      <c r="J48" s="44" t="s">
        <v>154</v>
      </c>
      <c r="K48" s="44" t="s">
        <v>6489</v>
      </c>
      <c r="L48" s="1" t="s">
        <v>7526</v>
      </c>
      <c r="M48" s="1" t="s">
        <v>7492</v>
      </c>
      <c r="N48" s="1" t="s">
        <v>8171</v>
      </c>
    </row>
    <row r="49" spans="1:14">
      <c r="A49" s="1" t="s">
        <v>204</v>
      </c>
      <c r="B49" s="1" t="s">
        <v>205</v>
      </c>
      <c r="C49" s="1" t="s">
        <v>206</v>
      </c>
      <c r="D49" s="1" t="s">
        <v>228</v>
      </c>
      <c r="E49" s="1" t="s">
        <v>8249</v>
      </c>
      <c r="F49" s="1" t="s">
        <v>8250</v>
      </c>
      <c r="G49" t="s">
        <v>8251</v>
      </c>
      <c r="H49">
        <v>145984000</v>
      </c>
      <c r="I49" s="1" t="s">
        <v>208</v>
      </c>
      <c r="J49" s="44" t="s">
        <v>208</v>
      </c>
      <c r="K49" s="44" t="s">
        <v>5506</v>
      </c>
      <c r="L49" s="1" t="s">
        <v>7011</v>
      </c>
      <c r="M49" s="1" t="s">
        <v>7825</v>
      </c>
      <c r="N49" s="1" t="s">
        <v>8070</v>
      </c>
    </row>
    <row r="50" spans="1:14">
      <c r="A50" s="1" t="s">
        <v>173</v>
      </c>
      <c r="B50" s="1" t="s">
        <v>174</v>
      </c>
      <c r="C50" s="1" t="s">
        <v>175</v>
      </c>
      <c r="D50" s="1" t="s">
        <v>233</v>
      </c>
      <c r="E50" s="1" t="s">
        <v>8252</v>
      </c>
      <c r="F50" s="1" t="s">
        <v>6135</v>
      </c>
      <c r="G50" t="s">
        <v>8253</v>
      </c>
      <c r="H50">
        <v>136766795</v>
      </c>
      <c r="I50" s="1" t="s">
        <v>8254</v>
      </c>
      <c r="J50" s="44" t="s">
        <v>8254</v>
      </c>
      <c r="K50" s="44" t="s">
        <v>5138</v>
      </c>
      <c r="L50" s="1" t="s">
        <v>5237</v>
      </c>
      <c r="M50" s="1" t="s">
        <v>7066</v>
      </c>
      <c r="N50" s="1" t="s">
        <v>8190</v>
      </c>
    </row>
    <row r="51" spans="1:14">
      <c r="A51" s="1" t="s">
        <v>225</v>
      </c>
      <c r="B51" s="1" t="s">
        <v>226</v>
      </c>
      <c r="C51" s="1" t="s">
        <v>227</v>
      </c>
      <c r="D51" s="1" t="s">
        <v>238</v>
      </c>
      <c r="E51" s="1" t="s">
        <v>7903</v>
      </c>
      <c r="F51" s="1" t="s">
        <v>8255</v>
      </c>
      <c r="G51" t="s">
        <v>8256</v>
      </c>
      <c r="H51">
        <v>135141064</v>
      </c>
      <c r="I51" s="1" t="s">
        <v>229</v>
      </c>
      <c r="J51" s="44" t="s">
        <v>230</v>
      </c>
      <c r="K51" s="44" t="s">
        <v>5522</v>
      </c>
      <c r="L51" s="1" t="s">
        <v>6174</v>
      </c>
      <c r="M51" s="1" t="s">
        <v>7428</v>
      </c>
      <c r="N51" s="1" t="s">
        <v>8186</v>
      </c>
    </row>
    <row r="52" spans="1:14">
      <c r="A52" s="1" t="s">
        <v>190</v>
      </c>
      <c r="B52" s="1" t="s">
        <v>191</v>
      </c>
      <c r="C52" s="1" t="s">
        <v>192</v>
      </c>
      <c r="D52" s="1" t="s">
        <v>243</v>
      </c>
      <c r="E52" s="1" t="s">
        <v>8257</v>
      </c>
      <c r="F52" s="1" t="s">
        <v>8258</v>
      </c>
      <c r="G52" t="s">
        <v>8259</v>
      </c>
      <c r="H52">
        <v>128888509</v>
      </c>
      <c r="I52" s="1" t="s">
        <v>5660</v>
      </c>
      <c r="J52" s="44" t="s">
        <v>54</v>
      </c>
      <c r="K52" s="44" t="s">
        <v>7067</v>
      </c>
      <c r="L52" s="1" t="s">
        <v>6614</v>
      </c>
      <c r="M52" s="1" t="s">
        <v>6275</v>
      </c>
      <c r="N52" s="1" t="s">
        <v>8102</v>
      </c>
    </row>
    <row r="53" spans="1:14">
      <c r="A53" s="1" t="s">
        <v>319</v>
      </c>
      <c r="B53" s="1" t="s">
        <v>320</v>
      </c>
      <c r="C53" s="1" t="s">
        <v>321</v>
      </c>
      <c r="D53" s="1" t="s">
        <v>249</v>
      </c>
      <c r="E53" s="1" t="s">
        <v>8260</v>
      </c>
      <c r="F53" s="1" t="s">
        <v>7786</v>
      </c>
      <c r="G53" t="s">
        <v>8261</v>
      </c>
      <c r="H53">
        <v>118031043</v>
      </c>
      <c r="I53" s="1" t="s">
        <v>8262</v>
      </c>
      <c r="J53" s="44" t="s">
        <v>8262</v>
      </c>
      <c r="K53" s="44" t="s">
        <v>5535</v>
      </c>
      <c r="L53" s="1" t="s">
        <v>7467</v>
      </c>
      <c r="M53" s="1" t="s">
        <v>7499</v>
      </c>
      <c r="N53" s="1" t="s">
        <v>8263</v>
      </c>
    </row>
    <row r="54" spans="1:14">
      <c r="A54" s="1" t="s">
        <v>385</v>
      </c>
      <c r="B54" s="1" t="s">
        <v>386</v>
      </c>
      <c r="C54" s="1" t="s">
        <v>387</v>
      </c>
      <c r="D54" s="1" t="s">
        <v>254</v>
      </c>
      <c r="E54" s="1" t="s">
        <v>8264</v>
      </c>
      <c r="F54" s="1" t="s">
        <v>7675</v>
      </c>
      <c r="G54" t="s">
        <v>8265</v>
      </c>
      <c r="H54">
        <v>118017124</v>
      </c>
      <c r="I54" s="1" t="s">
        <v>8266</v>
      </c>
      <c r="J54" s="44" t="s">
        <v>389</v>
      </c>
      <c r="K54" s="44" t="s">
        <v>5083</v>
      </c>
      <c r="L54" s="1" t="s">
        <v>7746</v>
      </c>
      <c r="M54" s="1" t="s">
        <v>6415</v>
      </c>
      <c r="N54" s="1" t="s">
        <v>8098</v>
      </c>
    </row>
    <row r="55" spans="1:14">
      <c r="A55" s="1" t="s">
        <v>213</v>
      </c>
      <c r="B55" s="1" t="s">
        <v>214</v>
      </c>
      <c r="C55" s="1" t="s">
        <v>215</v>
      </c>
      <c r="D55" s="1" t="s">
        <v>258</v>
      </c>
      <c r="E55" s="1" t="s">
        <v>8267</v>
      </c>
      <c r="F55" s="1" t="s">
        <v>5940</v>
      </c>
      <c r="G55" t="s">
        <v>8268</v>
      </c>
      <c r="H55">
        <v>117840334</v>
      </c>
      <c r="I55" s="1" t="s">
        <v>217</v>
      </c>
      <c r="J55" s="44" t="s">
        <v>217</v>
      </c>
      <c r="K55" s="44" t="s">
        <v>5859</v>
      </c>
      <c r="L55" s="1" t="s">
        <v>5048</v>
      </c>
      <c r="M55" s="1" t="s">
        <v>7576</v>
      </c>
      <c r="N55" s="1" t="s">
        <v>8085</v>
      </c>
    </row>
    <row r="56" spans="1:14">
      <c r="A56" s="1" t="s">
        <v>209</v>
      </c>
      <c r="B56" s="1" t="s">
        <v>210</v>
      </c>
      <c r="C56" s="1" t="s">
        <v>211</v>
      </c>
      <c r="D56" s="1" t="s">
        <v>263</v>
      </c>
      <c r="E56" s="1" t="s">
        <v>8269</v>
      </c>
      <c r="F56" s="1" t="s">
        <v>3898</v>
      </c>
      <c r="G56" t="s">
        <v>8270</v>
      </c>
      <c r="H56">
        <v>117570412</v>
      </c>
      <c r="I56" s="1" t="s">
        <v>6684</v>
      </c>
      <c r="J56" s="44" t="s">
        <v>6684</v>
      </c>
      <c r="K56" s="44" t="s">
        <v>5783</v>
      </c>
      <c r="L56" s="1" t="s">
        <v>6626</v>
      </c>
      <c r="M56" s="1" t="s">
        <v>6465</v>
      </c>
      <c r="N56" s="1" t="s">
        <v>8107</v>
      </c>
    </row>
    <row r="57" spans="1:14">
      <c r="A57" s="1" t="s">
        <v>221</v>
      </c>
      <c r="B57" s="1" t="s">
        <v>222</v>
      </c>
      <c r="C57" s="1" t="s">
        <v>223</v>
      </c>
      <c r="D57" s="1" t="s">
        <v>269</v>
      </c>
      <c r="E57" s="1" t="s">
        <v>8271</v>
      </c>
      <c r="F57" s="1" t="s">
        <v>6778</v>
      </c>
      <c r="G57" t="s">
        <v>8272</v>
      </c>
      <c r="H57">
        <v>117217611</v>
      </c>
      <c r="I57" s="1" t="s">
        <v>5127</v>
      </c>
      <c r="J57" s="44" t="s">
        <v>138</v>
      </c>
      <c r="K57" s="44" t="s">
        <v>5409</v>
      </c>
      <c r="L57" s="1" t="s">
        <v>6983</v>
      </c>
      <c r="M57" s="1" t="s">
        <v>7646</v>
      </c>
      <c r="N57" s="1" t="s">
        <v>8080</v>
      </c>
    </row>
    <row r="58" spans="1:14">
      <c r="A58" s="1" t="s">
        <v>246</v>
      </c>
      <c r="B58" s="1" t="s">
        <v>247</v>
      </c>
      <c r="C58" s="1" t="s">
        <v>248</v>
      </c>
      <c r="D58" s="1" t="s">
        <v>275</v>
      </c>
      <c r="E58" s="1" t="s">
        <v>8273</v>
      </c>
      <c r="F58" s="1" t="s">
        <v>8274</v>
      </c>
      <c r="G58" t="s">
        <v>8275</v>
      </c>
      <c r="H58">
        <v>113236080</v>
      </c>
      <c r="I58" s="1" t="s">
        <v>250</v>
      </c>
      <c r="J58" s="44" t="s">
        <v>250</v>
      </c>
      <c r="K58" s="44" t="s">
        <v>5498</v>
      </c>
      <c r="L58" s="1" t="s">
        <v>7747</v>
      </c>
      <c r="M58" s="1" t="s">
        <v>8276</v>
      </c>
      <c r="N58" s="1" t="s">
        <v>8107</v>
      </c>
    </row>
    <row r="59" spans="1:14">
      <c r="A59" s="1" t="s">
        <v>240</v>
      </c>
      <c r="B59" s="1" t="s">
        <v>241</v>
      </c>
      <c r="C59" s="1" t="s">
        <v>242</v>
      </c>
      <c r="D59" s="1" t="s">
        <v>281</v>
      </c>
      <c r="E59" s="1" t="s">
        <v>8277</v>
      </c>
      <c r="F59" s="1" t="s">
        <v>8278</v>
      </c>
      <c r="G59" t="s">
        <v>8279</v>
      </c>
      <c r="H59">
        <v>113194100</v>
      </c>
      <c r="I59" s="1" t="s">
        <v>244</v>
      </c>
      <c r="J59" s="44" t="s">
        <v>245</v>
      </c>
      <c r="K59" s="44" t="s">
        <v>5062</v>
      </c>
      <c r="L59" s="1" t="s">
        <v>6030</v>
      </c>
      <c r="M59" s="1" t="s">
        <v>7872</v>
      </c>
      <c r="N59" s="1" t="s">
        <v>8080</v>
      </c>
    </row>
    <row r="60" spans="1:14">
      <c r="A60" s="1" t="s">
        <v>194</v>
      </c>
      <c r="B60" s="1" t="s">
        <v>195</v>
      </c>
      <c r="C60" s="1" t="s">
        <v>196</v>
      </c>
      <c r="D60" s="1" t="s">
        <v>286</v>
      </c>
      <c r="E60" s="1" t="s">
        <v>8280</v>
      </c>
      <c r="F60" s="1" t="s">
        <v>7677</v>
      </c>
      <c r="G60" t="s">
        <v>8281</v>
      </c>
      <c r="H60">
        <v>112441532</v>
      </c>
      <c r="I60" s="1" t="s">
        <v>198</v>
      </c>
      <c r="J60" s="44" t="s">
        <v>199</v>
      </c>
      <c r="K60" s="44" t="s">
        <v>7039</v>
      </c>
      <c r="L60" s="1" t="s">
        <v>5658</v>
      </c>
      <c r="M60" s="1" t="s">
        <v>7884</v>
      </c>
      <c r="N60" s="1" t="s">
        <v>8133</v>
      </c>
    </row>
    <row r="61" spans="1:14">
      <c r="A61" s="1" t="s">
        <v>283</v>
      </c>
      <c r="B61" s="1" t="s">
        <v>284</v>
      </c>
      <c r="C61" s="1" t="s">
        <v>285</v>
      </c>
      <c r="D61" s="1" t="s">
        <v>291</v>
      </c>
      <c r="E61" s="1" t="s">
        <v>8282</v>
      </c>
      <c r="F61" s="1" t="s">
        <v>7927</v>
      </c>
      <c r="G61" t="s">
        <v>8283</v>
      </c>
      <c r="H61">
        <v>104598400</v>
      </c>
      <c r="I61" s="1" t="s">
        <v>5250</v>
      </c>
      <c r="J61" s="44" t="s">
        <v>287</v>
      </c>
      <c r="K61" s="44" t="s">
        <v>5379</v>
      </c>
      <c r="L61" s="1" t="s">
        <v>7302</v>
      </c>
      <c r="M61" s="1" t="s">
        <v>6503</v>
      </c>
      <c r="N61" s="1" t="s">
        <v>8121</v>
      </c>
    </row>
    <row r="62" spans="1:14">
      <c r="A62" s="1" t="s">
        <v>218</v>
      </c>
      <c r="B62" s="1" t="s">
        <v>219</v>
      </c>
      <c r="C62" s="1" t="s">
        <v>219</v>
      </c>
      <c r="D62" s="1" t="s">
        <v>296</v>
      </c>
      <c r="E62" s="1" t="s">
        <v>8284</v>
      </c>
      <c r="F62" s="1" t="s">
        <v>7928</v>
      </c>
      <c r="G62" t="s">
        <v>8285</v>
      </c>
      <c r="H62">
        <v>103521543</v>
      </c>
      <c r="I62" s="1" t="s">
        <v>5129</v>
      </c>
      <c r="J62" s="44" t="s">
        <v>54</v>
      </c>
      <c r="K62" s="44" t="s">
        <v>5769</v>
      </c>
      <c r="L62" s="1" t="s">
        <v>5224</v>
      </c>
      <c r="M62" s="1" t="s">
        <v>7717</v>
      </c>
      <c r="N62" s="1" t="s">
        <v>8186</v>
      </c>
    </row>
    <row r="63" spans="1:14">
      <c r="A63" s="1" t="s">
        <v>278</v>
      </c>
      <c r="B63" s="1" t="s">
        <v>279</v>
      </c>
      <c r="C63" s="1" t="s">
        <v>280</v>
      </c>
      <c r="D63" s="1" t="s">
        <v>302</v>
      </c>
      <c r="E63" s="1" t="s">
        <v>8286</v>
      </c>
      <c r="F63" s="1" t="s">
        <v>8287</v>
      </c>
      <c r="G63" t="s">
        <v>8288</v>
      </c>
      <c r="H63">
        <v>101811600</v>
      </c>
      <c r="I63" s="1" t="s">
        <v>282</v>
      </c>
      <c r="J63" s="44" t="s">
        <v>138</v>
      </c>
      <c r="K63" s="44" t="s">
        <v>5522</v>
      </c>
      <c r="L63" s="1" t="s">
        <v>5064</v>
      </c>
      <c r="M63" s="1" t="s">
        <v>6162</v>
      </c>
      <c r="N63" s="1" t="s">
        <v>8065</v>
      </c>
    </row>
    <row r="64" spans="1:14">
      <c r="A64" s="1" t="s">
        <v>266</v>
      </c>
      <c r="B64" s="1" t="s">
        <v>267</v>
      </c>
      <c r="C64" s="1" t="s">
        <v>268</v>
      </c>
      <c r="D64" s="1" t="s">
        <v>306</v>
      </c>
      <c r="E64" s="1" t="s">
        <v>8289</v>
      </c>
      <c r="F64" s="1" t="s">
        <v>7781</v>
      </c>
      <c r="G64" t="s">
        <v>8290</v>
      </c>
      <c r="H64">
        <v>100646459</v>
      </c>
      <c r="I64" s="1" t="s">
        <v>270</v>
      </c>
      <c r="J64" s="44" t="s">
        <v>271</v>
      </c>
      <c r="K64" s="44" t="s">
        <v>5088</v>
      </c>
      <c r="L64" s="1" t="s">
        <v>5832</v>
      </c>
      <c r="M64" s="1" t="s">
        <v>5678</v>
      </c>
      <c r="N64" s="1" t="s">
        <v>8121</v>
      </c>
    </row>
    <row r="65" spans="1:14">
      <c r="A65" s="1" t="s">
        <v>231</v>
      </c>
      <c r="B65" s="1" t="s">
        <v>231</v>
      </c>
      <c r="C65" s="1" t="s">
        <v>232</v>
      </c>
      <c r="D65" s="1" t="s">
        <v>312</v>
      </c>
      <c r="E65" s="1" t="s">
        <v>8291</v>
      </c>
      <c r="F65" s="1" t="s">
        <v>6236</v>
      </c>
      <c r="G65" t="s">
        <v>8292</v>
      </c>
      <c r="H65">
        <v>99458500</v>
      </c>
      <c r="I65" s="1" t="s">
        <v>234</v>
      </c>
      <c r="J65" s="44" t="s">
        <v>138</v>
      </c>
      <c r="K65" s="44" t="s">
        <v>265</v>
      </c>
      <c r="L65" s="1" t="s">
        <v>6553</v>
      </c>
      <c r="M65" s="1" t="s">
        <v>7727</v>
      </c>
      <c r="N65" s="1" t="s">
        <v>8171</v>
      </c>
    </row>
    <row r="66" spans="1:14">
      <c r="A66" s="1" t="s">
        <v>303</v>
      </c>
      <c r="B66" s="1" t="s">
        <v>304</v>
      </c>
      <c r="C66" s="1" t="s">
        <v>305</v>
      </c>
      <c r="D66" s="1" t="s">
        <v>317</v>
      </c>
      <c r="E66" s="1" t="s">
        <v>8293</v>
      </c>
      <c r="F66" s="1" t="s">
        <v>8294</v>
      </c>
      <c r="G66" t="s">
        <v>8295</v>
      </c>
      <c r="H66">
        <v>95266692</v>
      </c>
      <c r="I66" s="1" t="s">
        <v>307</v>
      </c>
      <c r="J66" s="44" t="s">
        <v>308</v>
      </c>
      <c r="K66" s="44" t="s">
        <v>7410</v>
      </c>
      <c r="L66" s="1" t="s">
        <v>6095</v>
      </c>
      <c r="M66" s="1" t="s">
        <v>6664</v>
      </c>
      <c r="N66" s="1" t="s">
        <v>8186</v>
      </c>
    </row>
    <row r="67" spans="1:14">
      <c r="A67" s="1" t="s">
        <v>272</v>
      </c>
      <c r="B67" s="1" t="s">
        <v>273</v>
      </c>
      <c r="C67" s="1" t="s">
        <v>274</v>
      </c>
      <c r="D67" s="1" t="s">
        <v>322</v>
      </c>
      <c r="E67" s="1" t="s">
        <v>8296</v>
      </c>
      <c r="F67" s="1" t="s">
        <v>8297</v>
      </c>
      <c r="G67" t="s">
        <v>8298</v>
      </c>
      <c r="H67">
        <v>93171310</v>
      </c>
      <c r="I67" s="1" t="s">
        <v>276</v>
      </c>
      <c r="J67" s="44" t="s">
        <v>277</v>
      </c>
      <c r="K67" s="44" t="s">
        <v>5122</v>
      </c>
      <c r="L67" s="1" t="s">
        <v>6469</v>
      </c>
      <c r="M67" s="1" t="s">
        <v>5849</v>
      </c>
      <c r="N67" s="1" t="s">
        <v>8102</v>
      </c>
    </row>
    <row r="68" spans="1:14">
      <c r="A68" s="1" t="s">
        <v>288</v>
      </c>
      <c r="B68" s="1" t="s">
        <v>289</v>
      </c>
      <c r="C68" s="1" t="s">
        <v>290</v>
      </c>
      <c r="D68" s="1" t="s">
        <v>326</v>
      </c>
      <c r="E68" s="1" t="s">
        <v>8299</v>
      </c>
      <c r="F68" s="1" t="s">
        <v>8300</v>
      </c>
      <c r="G68" t="s">
        <v>6686</v>
      </c>
      <c r="H68">
        <v>92882157</v>
      </c>
      <c r="I68" s="1" t="s">
        <v>5662</v>
      </c>
      <c r="J68" s="44" t="s">
        <v>292</v>
      </c>
      <c r="K68" s="44" t="s">
        <v>1081</v>
      </c>
      <c r="L68" s="1" t="s">
        <v>5891</v>
      </c>
      <c r="M68" s="1" t="s">
        <v>6437</v>
      </c>
      <c r="N68" s="1" t="s">
        <v>8133</v>
      </c>
    </row>
    <row r="69" spans="1:14">
      <c r="A69" s="1" t="s">
        <v>260</v>
      </c>
      <c r="B69" s="1" t="s">
        <v>261</v>
      </c>
      <c r="C69" s="1" t="s">
        <v>262</v>
      </c>
      <c r="D69" s="1" t="s">
        <v>330</v>
      </c>
      <c r="E69" s="1" t="s">
        <v>8301</v>
      </c>
      <c r="F69" s="1" t="s">
        <v>5703</v>
      </c>
      <c r="G69" t="s">
        <v>8302</v>
      </c>
      <c r="H69">
        <v>89833809</v>
      </c>
      <c r="I69" s="1" t="s">
        <v>264</v>
      </c>
      <c r="J69" s="44" t="s">
        <v>264</v>
      </c>
      <c r="K69" s="44" t="s">
        <v>5521</v>
      </c>
      <c r="L69" s="1" t="s">
        <v>6113</v>
      </c>
      <c r="M69" s="1" t="s">
        <v>6206</v>
      </c>
      <c r="N69" s="1" t="s">
        <v>8173</v>
      </c>
    </row>
    <row r="70" spans="1:14">
      <c r="A70" s="1" t="s">
        <v>314</v>
      </c>
      <c r="B70" s="1" t="s">
        <v>315</v>
      </c>
      <c r="C70" s="1" t="s">
        <v>316</v>
      </c>
      <c r="D70" s="1" t="s">
        <v>334</v>
      </c>
      <c r="E70" s="1" t="s">
        <v>8303</v>
      </c>
      <c r="F70" s="1" t="s">
        <v>6988</v>
      </c>
      <c r="G70" t="s">
        <v>8304</v>
      </c>
      <c r="H70">
        <v>88641551</v>
      </c>
      <c r="I70" s="1" t="s">
        <v>318</v>
      </c>
      <c r="J70" s="44" t="s">
        <v>54</v>
      </c>
      <c r="K70" s="44" t="s">
        <v>7404</v>
      </c>
      <c r="L70" s="1" t="s">
        <v>7608</v>
      </c>
      <c r="M70" s="1" t="s">
        <v>5956</v>
      </c>
      <c r="N70" s="1" t="s">
        <v>8121</v>
      </c>
    </row>
    <row r="71" spans="1:14">
      <c r="A71" s="1" t="s">
        <v>408</v>
      </c>
      <c r="B71" s="1" t="s">
        <v>409</v>
      </c>
      <c r="C71" s="1" t="s">
        <v>410</v>
      </c>
      <c r="D71" s="1" t="s">
        <v>338</v>
      </c>
      <c r="E71" s="1" t="s">
        <v>8305</v>
      </c>
      <c r="F71" s="1" t="s">
        <v>8306</v>
      </c>
      <c r="G71" t="s">
        <v>8307</v>
      </c>
      <c r="H71">
        <v>86251166</v>
      </c>
      <c r="I71" s="1" t="s">
        <v>412</v>
      </c>
      <c r="J71" s="44" t="s">
        <v>413</v>
      </c>
      <c r="K71" s="44" t="s">
        <v>5407</v>
      </c>
      <c r="L71" s="1" t="s">
        <v>6220</v>
      </c>
      <c r="M71" s="1" t="s">
        <v>6548</v>
      </c>
      <c r="N71" s="1" t="s">
        <v>8171</v>
      </c>
    </row>
    <row r="72" spans="1:14">
      <c r="A72" s="1" t="s">
        <v>3974</v>
      </c>
      <c r="B72" s="1" t="s">
        <v>3975</v>
      </c>
      <c r="C72" s="1" t="s">
        <v>3976</v>
      </c>
      <c r="D72" s="1" t="s">
        <v>344</v>
      </c>
      <c r="E72" s="1" t="s">
        <v>8308</v>
      </c>
      <c r="F72" s="1" t="s">
        <v>7931</v>
      </c>
      <c r="G72" t="s">
        <v>8309</v>
      </c>
      <c r="H72">
        <v>84955264</v>
      </c>
      <c r="I72" s="1" t="s">
        <v>8310</v>
      </c>
      <c r="J72" s="44" t="s">
        <v>8311</v>
      </c>
      <c r="K72" s="44" t="s">
        <v>6473</v>
      </c>
      <c r="L72" s="1" t="s">
        <v>7169</v>
      </c>
      <c r="M72" s="1" t="s">
        <v>5873</v>
      </c>
      <c r="N72" s="1" t="s">
        <v>8090</v>
      </c>
    </row>
    <row r="73" spans="1:14">
      <c r="A73" s="1" t="s">
        <v>4766</v>
      </c>
      <c r="B73" s="1" t="s">
        <v>4767</v>
      </c>
      <c r="C73" s="1" t="s">
        <v>4768</v>
      </c>
      <c r="D73" s="1" t="s">
        <v>349</v>
      </c>
      <c r="E73" s="1" t="s">
        <v>8312</v>
      </c>
      <c r="F73" s="1" t="s">
        <v>8313</v>
      </c>
      <c r="G73" t="s">
        <v>8314</v>
      </c>
      <c r="H73">
        <v>81491420</v>
      </c>
      <c r="I73" s="1" t="s">
        <v>5257</v>
      </c>
      <c r="J73" s="44" t="s">
        <v>138</v>
      </c>
      <c r="K73" s="44" t="s">
        <v>6319</v>
      </c>
      <c r="L73" s="1" t="s">
        <v>6134</v>
      </c>
      <c r="M73" s="1" t="s">
        <v>8315</v>
      </c>
      <c r="N73" s="1" t="s">
        <v>8213</v>
      </c>
    </row>
    <row r="74" spans="1:14">
      <c r="A74" s="1" t="s">
        <v>186</v>
      </c>
      <c r="B74" s="1" t="s">
        <v>187</v>
      </c>
      <c r="C74" s="1" t="s">
        <v>188</v>
      </c>
      <c r="D74" s="1" t="s">
        <v>354</v>
      </c>
      <c r="E74" s="1" t="s">
        <v>8316</v>
      </c>
      <c r="F74" s="1" t="s">
        <v>7933</v>
      </c>
      <c r="G74" t="s">
        <v>8317</v>
      </c>
      <c r="H74">
        <v>79640262</v>
      </c>
      <c r="I74" s="1" t="s">
        <v>8318</v>
      </c>
      <c r="J74" s="44" t="s">
        <v>8318</v>
      </c>
      <c r="K74" s="44" t="s">
        <v>7172</v>
      </c>
      <c r="L74" s="1" t="s">
        <v>7034</v>
      </c>
      <c r="M74" s="1" t="s">
        <v>7318</v>
      </c>
      <c r="N74" s="1" t="s">
        <v>8152</v>
      </c>
    </row>
    <row r="75" spans="1:14">
      <c r="A75" s="1" t="s">
        <v>182</v>
      </c>
      <c r="B75" s="1" t="s">
        <v>183</v>
      </c>
      <c r="C75" s="1" t="s">
        <v>184</v>
      </c>
      <c r="D75" s="1" t="s">
        <v>359</v>
      </c>
      <c r="E75" s="1" t="s">
        <v>8319</v>
      </c>
      <c r="F75" s="1" t="s">
        <v>8320</v>
      </c>
      <c r="G75" t="s">
        <v>8321</v>
      </c>
      <c r="H75">
        <v>79327181</v>
      </c>
      <c r="I75" s="1" t="s">
        <v>8322</v>
      </c>
      <c r="J75" s="44" t="s">
        <v>8322</v>
      </c>
      <c r="K75" s="44" t="s">
        <v>7186</v>
      </c>
      <c r="L75" s="1" t="s">
        <v>5628</v>
      </c>
      <c r="M75" s="1" t="s">
        <v>7368</v>
      </c>
      <c r="N75" s="1" t="s">
        <v>8173</v>
      </c>
    </row>
    <row r="76" spans="1:14">
      <c r="A76" s="1" t="s">
        <v>3956</v>
      </c>
      <c r="B76" s="1" t="s">
        <v>3957</v>
      </c>
      <c r="C76" s="1" t="s">
        <v>3958</v>
      </c>
      <c r="D76" s="1" t="s">
        <v>365</v>
      </c>
      <c r="E76" s="1" t="s">
        <v>8323</v>
      </c>
      <c r="F76" s="1" t="s">
        <v>8324</v>
      </c>
      <c r="G76" t="s">
        <v>8325</v>
      </c>
      <c r="H76">
        <v>74623880</v>
      </c>
      <c r="I76" s="1" t="s">
        <v>5256</v>
      </c>
      <c r="J76" s="44" t="s">
        <v>3960</v>
      </c>
      <c r="K76" s="44" t="s">
        <v>7006</v>
      </c>
      <c r="L76" s="1" t="s">
        <v>7308</v>
      </c>
      <c r="M76" s="1" t="s">
        <v>7457</v>
      </c>
      <c r="N76" s="1" t="s">
        <v>8171</v>
      </c>
    </row>
    <row r="77" spans="1:14">
      <c r="A77" s="1" t="s">
        <v>293</v>
      </c>
      <c r="B77" s="1" t="s">
        <v>294</v>
      </c>
      <c r="C77" s="1" t="s">
        <v>295</v>
      </c>
      <c r="D77" s="1" t="s">
        <v>370</v>
      </c>
      <c r="E77" s="1" t="s">
        <v>8326</v>
      </c>
      <c r="F77" s="1" t="s">
        <v>8327</v>
      </c>
      <c r="G77" t="s">
        <v>8328</v>
      </c>
      <c r="H77">
        <v>74561251</v>
      </c>
      <c r="I77" s="1" t="s">
        <v>297</v>
      </c>
      <c r="J77" s="44" t="s">
        <v>298</v>
      </c>
      <c r="K77" s="44" t="s">
        <v>3488</v>
      </c>
      <c r="L77" s="1" t="s">
        <v>5693</v>
      </c>
      <c r="M77" s="1" t="s">
        <v>7342</v>
      </c>
      <c r="N77" s="1" t="s">
        <v>8121</v>
      </c>
    </row>
    <row r="78" spans="1:14">
      <c r="A78" s="1" t="s">
        <v>5251</v>
      </c>
      <c r="B78" s="1" t="s">
        <v>5252</v>
      </c>
      <c r="C78" s="1" t="s">
        <v>5253</v>
      </c>
      <c r="D78" s="1" t="s">
        <v>375</v>
      </c>
      <c r="E78" s="1" t="s">
        <v>8329</v>
      </c>
      <c r="F78" s="1" t="s">
        <v>754</v>
      </c>
      <c r="G78" t="s">
        <v>8330</v>
      </c>
      <c r="H78">
        <v>68442405</v>
      </c>
      <c r="I78" s="1" t="s">
        <v>5254</v>
      </c>
      <c r="J78" s="44" t="s">
        <v>5255</v>
      </c>
      <c r="K78" s="44" t="s">
        <v>7760</v>
      </c>
      <c r="L78" s="1" t="s">
        <v>7428</v>
      </c>
      <c r="M78" s="1" t="s">
        <v>5939</v>
      </c>
      <c r="N78" s="1" t="s">
        <v>8140</v>
      </c>
    </row>
    <row r="79" spans="1:14">
      <c r="A79" s="1" t="s">
        <v>441</v>
      </c>
      <c r="B79" s="1" t="s">
        <v>442</v>
      </c>
      <c r="C79" s="1" t="s">
        <v>443</v>
      </c>
      <c r="D79" s="1" t="s">
        <v>380</v>
      </c>
      <c r="E79" s="1" t="s">
        <v>8331</v>
      </c>
      <c r="F79" s="1" t="s">
        <v>8332</v>
      </c>
      <c r="G79" t="s">
        <v>8333</v>
      </c>
      <c r="H79">
        <v>67253625</v>
      </c>
      <c r="I79" s="1" t="s">
        <v>5856</v>
      </c>
      <c r="J79" s="44" t="s">
        <v>54</v>
      </c>
      <c r="K79" s="44" t="s">
        <v>5101</v>
      </c>
      <c r="L79" s="1" t="s">
        <v>6212</v>
      </c>
      <c r="M79" s="1" t="s">
        <v>7763</v>
      </c>
      <c r="N79" s="1" t="s">
        <v>8121</v>
      </c>
    </row>
    <row r="80" spans="1:14">
      <c r="A80" s="1" t="s">
        <v>5600</v>
      </c>
      <c r="B80" s="1" t="s">
        <v>5602</v>
      </c>
      <c r="C80" s="1" t="s">
        <v>5601</v>
      </c>
      <c r="D80" s="1" t="s">
        <v>384</v>
      </c>
      <c r="E80" s="1" t="s">
        <v>8334</v>
      </c>
      <c r="F80" s="1" t="s">
        <v>7027</v>
      </c>
      <c r="G80" t="s">
        <v>8335</v>
      </c>
      <c r="H80">
        <v>66283159</v>
      </c>
      <c r="I80" s="1" t="s">
        <v>5614</v>
      </c>
      <c r="J80" s="44" t="s">
        <v>5615</v>
      </c>
      <c r="K80" s="44" t="s">
        <v>6155</v>
      </c>
      <c r="L80" s="1" t="s">
        <v>5543</v>
      </c>
      <c r="M80" s="1"/>
      <c r="N80" s="1" t="s">
        <v>8140</v>
      </c>
    </row>
    <row r="81" spans="1:14">
      <c r="A81" s="1" t="s">
        <v>309</v>
      </c>
      <c r="B81" s="1" t="s">
        <v>310</v>
      </c>
      <c r="C81" s="1" t="s">
        <v>311</v>
      </c>
      <c r="D81" s="1" t="s">
        <v>388</v>
      </c>
      <c r="E81" s="1" t="s">
        <v>8336</v>
      </c>
      <c r="F81" s="1" t="s">
        <v>8337</v>
      </c>
      <c r="G81" t="s">
        <v>8338</v>
      </c>
      <c r="H81">
        <v>66239091</v>
      </c>
      <c r="I81" s="1" t="s">
        <v>313</v>
      </c>
      <c r="J81" s="44" t="s">
        <v>313</v>
      </c>
      <c r="K81" s="44" t="s">
        <v>5769</v>
      </c>
      <c r="L81" s="1" t="s">
        <v>6589</v>
      </c>
      <c r="M81" s="1" t="s">
        <v>6188</v>
      </c>
      <c r="N81" s="1" t="s">
        <v>8085</v>
      </c>
    </row>
    <row r="82" spans="1:14">
      <c r="A82" s="1" t="s">
        <v>5055</v>
      </c>
      <c r="B82" s="1" t="s">
        <v>5056</v>
      </c>
      <c r="C82" s="1" t="s">
        <v>5057</v>
      </c>
      <c r="D82" s="1" t="s">
        <v>393</v>
      </c>
      <c r="E82" s="1" t="s">
        <v>8339</v>
      </c>
      <c r="F82" s="1" t="s">
        <v>6145</v>
      </c>
      <c r="G82" t="s">
        <v>8340</v>
      </c>
      <c r="H82">
        <v>66077640</v>
      </c>
      <c r="I82" s="1" t="s">
        <v>5131</v>
      </c>
      <c r="J82" s="44" t="s">
        <v>460</v>
      </c>
      <c r="K82" s="44" t="s">
        <v>5067</v>
      </c>
      <c r="L82" s="1" t="s">
        <v>5827</v>
      </c>
      <c r="M82" s="1" t="s">
        <v>8341</v>
      </c>
      <c r="N82" s="1" t="s">
        <v>8102</v>
      </c>
    </row>
    <row r="83" spans="1:14">
      <c r="A83" s="1" t="s">
        <v>502</v>
      </c>
      <c r="B83" s="1" t="s">
        <v>503</v>
      </c>
      <c r="C83" s="1" t="s">
        <v>504</v>
      </c>
      <c r="D83" s="1" t="s">
        <v>397</v>
      </c>
      <c r="E83" s="1" t="s">
        <v>8342</v>
      </c>
      <c r="F83" s="1" t="s">
        <v>8343</v>
      </c>
      <c r="G83" t="s">
        <v>8344</v>
      </c>
      <c r="H83">
        <v>65177393</v>
      </c>
      <c r="I83" s="1" t="s">
        <v>5264</v>
      </c>
      <c r="J83" s="44" t="s">
        <v>506</v>
      </c>
      <c r="K83" s="44" t="s">
        <v>7194</v>
      </c>
      <c r="L83" s="1" t="s">
        <v>7200</v>
      </c>
      <c r="M83" s="1" t="s">
        <v>8345</v>
      </c>
      <c r="N83" s="1" t="s">
        <v>8213</v>
      </c>
    </row>
    <row r="84" spans="1:14">
      <c r="A84" s="1" t="s">
        <v>1053</v>
      </c>
      <c r="B84" s="1" t="s">
        <v>1054</v>
      </c>
      <c r="C84" s="1" t="s">
        <v>1055</v>
      </c>
      <c r="D84" s="1" t="s">
        <v>402</v>
      </c>
      <c r="E84" s="1" t="s">
        <v>8346</v>
      </c>
      <c r="F84" s="1" t="s">
        <v>7934</v>
      </c>
      <c r="G84" t="s">
        <v>8347</v>
      </c>
      <c r="H84">
        <v>59391595</v>
      </c>
      <c r="I84" s="1" t="s">
        <v>5663</v>
      </c>
      <c r="J84" s="44" t="s">
        <v>8348</v>
      </c>
      <c r="K84" s="44" t="s">
        <v>7115</v>
      </c>
      <c r="L84" s="1" t="s">
        <v>7581</v>
      </c>
      <c r="M84" s="1" t="s">
        <v>6186</v>
      </c>
      <c r="N84" s="1" t="s">
        <v>8121</v>
      </c>
    </row>
    <row r="85" spans="1:14">
      <c r="A85" s="1" t="s">
        <v>323</v>
      </c>
      <c r="B85" s="1" t="s">
        <v>324</v>
      </c>
      <c r="C85" s="1" t="s">
        <v>325</v>
      </c>
      <c r="D85" s="1" t="s">
        <v>407</v>
      </c>
      <c r="E85" s="1" t="s">
        <v>8349</v>
      </c>
      <c r="F85" s="1" t="s">
        <v>8350</v>
      </c>
      <c r="G85" t="s">
        <v>8351</v>
      </c>
      <c r="H85">
        <v>58903343</v>
      </c>
      <c r="I85" s="1" t="s">
        <v>8352</v>
      </c>
      <c r="J85" s="44" t="s">
        <v>8352</v>
      </c>
      <c r="K85" s="44" t="s">
        <v>3488</v>
      </c>
      <c r="L85" s="1" t="s">
        <v>7081</v>
      </c>
      <c r="M85" s="1" t="s">
        <v>7197</v>
      </c>
      <c r="N85" s="1" t="s">
        <v>8263</v>
      </c>
    </row>
    <row r="86" spans="1:14">
      <c r="A86" s="1" t="s">
        <v>346</v>
      </c>
      <c r="B86" s="1" t="s">
        <v>347</v>
      </c>
      <c r="C86" s="1" t="s">
        <v>348</v>
      </c>
      <c r="D86" s="1" t="s">
        <v>411</v>
      </c>
      <c r="E86" s="1" t="s">
        <v>8353</v>
      </c>
      <c r="F86" s="1" t="s">
        <v>8354</v>
      </c>
      <c r="G86" t="s">
        <v>8355</v>
      </c>
      <c r="H86">
        <v>57459823</v>
      </c>
      <c r="I86" s="1" t="s">
        <v>5493</v>
      </c>
      <c r="J86" s="44" t="s">
        <v>350</v>
      </c>
      <c r="K86" s="44" t="s">
        <v>5882</v>
      </c>
      <c r="L86" s="1" t="s">
        <v>7102</v>
      </c>
      <c r="M86" s="1" t="s">
        <v>6597</v>
      </c>
      <c r="N86" s="1" t="s">
        <v>8186</v>
      </c>
    </row>
    <row r="87" spans="1:14">
      <c r="A87" s="1" t="s">
        <v>489</v>
      </c>
      <c r="B87" s="1" t="s">
        <v>490</v>
      </c>
      <c r="C87" s="1" t="s">
        <v>491</v>
      </c>
      <c r="D87" s="1" t="s">
        <v>417</v>
      </c>
      <c r="E87" s="1" t="s">
        <v>8356</v>
      </c>
      <c r="F87" s="1" t="s">
        <v>8357</v>
      </c>
      <c r="G87" t="s">
        <v>8358</v>
      </c>
      <c r="H87">
        <v>55708872</v>
      </c>
      <c r="I87" s="1" t="s">
        <v>5541</v>
      </c>
      <c r="J87" s="44" t="s">
        <v>493</v>
      </c>
      <c r="K87" s="44" t="s">
        <v>5737</v>
      </c>
      <c r="L87" s="1" t="s">
        <v>7147</v>
      </c>
      <c r="M87" s="1" t="s">
        <v>8359</v>
      </c>
      <c r="N87" s="1" t="s">
        <v>8102</v>
      </c>
    </row>
    <row r="88" spans="1:14">
      <c r="A88" s="1" t="s">
        <v>485</v>
      </c>
      <c r="B88" s="1" t="s">
        <v>486</v>
      </c>
      <c r="C88" s="1" t="s">
        <v>487</v>
      </c>
      <c r="D88" s="1" t="s">
        <v>421</v>
      </c>
      <c r="E88" s="1" t="s">
        <v>8360</v>
      </c>
      <c r="F88" s="1" t="s">
        <v>8361</v>
      </c>
      <c r="G88" t="s">
        <v>8362</v>
      </c>
      <c r="H88">
        <v>54163205</v>
      </c>
      <c r="I88" s="1" t="s">
        <v>8363</v>
      </c>
      <c r="J88" s="44" t="s">
        <v>8363</v>
      </c>
      <c r="K88" s="44" t="s">
        <v>5048</v>
      </c>
      <c r="L88" s="1" t="s">
        <v>7714</v>
      </c>
      <c r="M88" s="1" t="s">
        <v>8364</v>
      </c>
      <c r="N88" s="1" t="s">
        <v>8074</v>
      </c>
    </row>
    <row r="89" spans="1:14">
      <c r="A89" s="1" t="s">
        <v>372</v>
      </c>
      <c r="B89" s="1" t="s">
        <v>373</v>
      </c>
      <c r="C89" s="1" t="s">
        <v>374</v>
      </c>
      <c r="D89" s="1" t="s">
        <v>423</v>
      </c>
      <c r="E89" s="1" t="s">
        <v>8365</v>
      </c>
      <c r="F89" s="1" t="s">
        <v>7788</v>
      </c>
      <c r="G89" t="s">
        <v>8366</v>
      </c>
      <c r="H89">
        <v>53591510</v>
      </c>
      <c r="I89" s="1" t="s">
        <v>376</v>
      </c>
      <c r="J89" s="44" t="s">
        <v>54</v>
      </c>
      <c r="K89" s="44" t="s">
        <v>5379</v>
      </c>
      <c r="L89" s="1" t="s">
        <v>6183</v>
      </c>
      <c r="M89" s="1" t="s">
        <v>6492</v>
      </c>
      <c r="N89" s="1" t="s">
        <v>8102</v>
      </c>
    </row>
    <row r="90" spans="1:14">
      <c r="A90" s="1" t="s">
        <v>335</v>
      </c>
      <c r="B90" s="1" t="s">
        <v>336</v>
      </c>
      <c r="C90" s="1" t="s">
        <v>337</v>
      </c>
      <c r="D90" s="1" t="s">
        <v>429</v>
      </c>
      <c r="E90" s="1" t="s">
        <v>8367</v>
      </c>
      <c r="F90" s="1" t="s">
        <v>8368</v>
      </c>
      <c r="G90" t="s">
        <v>8369</v>
      </c>
      <c r="H90">
        <v>52797525</v>
      </c>
      <c r="I90" s="1" t="s">
        <v>339</v>
      </c>
      <c r="J90" s="44" t="s">
        <v>340</v>
      </c>
      <c r="K90" s="44" t="s">
        <v>5739</v>
      </c>
      <c r="L90" s="1" t="s">
        <v>6544</v>
      </c>
      <c r="M90" s="1" t="s">
        <v>8370</v>
      </c>
      <c r="N90" s="1" t="s">
        <v>8162</v>
      </c>
    </row>
    <row r="91" spans="1:14">
      <c r="A91" s="1" t="s">
        <v>451</v>
      </c>
      <c r="B91" s="1" t="s">
        <v>452</v>
      </c>
      <c r="C91" s="1" t="s">
        <v>453</v>
      </c>
      <c r="D91" s="1" t="s">
        <v>435</v>
      </c>
      <c r="E91" s="1" t="s">
        <v>8371</v>
      </c>
      <c r="F91" s="1" t="s">
        <v>7789</v>
      </c>
      <c r="G91" t="s">
        <v>8372</v>
      </c>
      <c r="H91">
        <v>51623589</v>
      </c>
      <c r="I91" s="1" t="s">
        <v>8373</v>
      </c>
      <c r="J91" s="44" t="s">
        <v>8373</v>
      </c>
      <c r="K91" s="44" t="s">
        <v>5376</v>
      </c>
      <c r="L91" s="1" t="s">
        <v>6100</v>
      </c>
      <c r="M91" s="1" t="s">
        <v>6612</v>
      </c>
      <c r="N91" s="1" t="s">
        <v>8152</v>
      </c>
    </row>
    <row r="92" spans="1:14">
      <c r="A92" s="1" t="s">
        <v>3961</v>
      </c>
      <c r="B92" s="1" t="s">
        <v>3962</v>
      </c>
      <c r="C92" s="1" t="s">
        <v>3963</v>
      </c>
      <c r="D92" s="1" t="s">
        <v>440</v>
      </c>
      <c r="E92" s="1" t="s">
        <v>8374</v>
      </c>
      <c r="F92" s="1" t="s">
        <v>8375</v>
      </c>
      <c r="G92" t="s">
        <v>8376</v>
      </c>
      <c r="H92">
        <v>51284199</v>
      </c>
      <c r="I92" s="1" t="s">
        <v>5664</v>
      </c>
      <c r="J92" s="44" t="s">
        <v>5664</v>
      </c>
      <c r="K92" s="44" t="s">
        <v>5659</v>
      </c>
      <c r="L92" s="1" t="s">
        <v>8377</v>
      </c>
      <c r="M92" s="1" t="s">
        <v>7575</v>
      </c>
      <c r="N92" s="1" t="s">
        <v>8213</v>
      </c>
    </row>
    <row r="93" spans="1:14">
      <c r="A93" s="1" t="s">
        <v>341</v>
      </c>
      <c r="B93" s="1" t="s">
        <v>342</v>
      </c>
      <c r="C93" s="1" t="s">
        <v>343</v>
      </c>
      <c r="D93" s="1" t="s">
        <v>444</v>
      </c>
      <c r="E93" s="1" t="s">
        <v>8378</v>
      </c>
      <c r="F93" s="1" t="s">
        <v>8379</v>
      </c>
      <c r="G93" t="s">
        <v>8380</v>
      </c>
      <c r="H93">
        <v>49336533</v>
      </c>
      <c r="I93" s="1" t="s">
        <v>345</v>
      </c>
      <c r="J93" s="44" t="s">
        <v>54</v>
      </c>
      <c r="K93" s="44" t="s">
        <v>5535</v>
      </c>
      <c r="L93" s="1" t="s">
        <v>7251</v>
      </c>
      <c r="M93" s="1" t="s">
        <v>7132</v>
      </c>
      <c r="N93" s="1" t="s">
        <v>8133</v>
      </c>
    </row>
    <row r="94" spans="1:14">
      <c r="A94" s="1" t="s">
        <v>331</v>
      </c>
      <c r="B94" s="1" t="s">
        <v>332</v>
      </c>
      <c r="C94" s="1" t="s">
        <v>333</v>
      </c>
      <c r="D94" s="1" t="s">
        <v>448</v>
      </c>
      <c r="E94" s="1" t="s">
        <v>8381</v>
      </c>
      <c r="F94" s="1" t="s">
        <v>8382</v>
      </c>
      <c r="G94" t="s">
        <v>8383</v>
      </c>
      <c r="H94">
        <v>48898569</v>
      </c>
      <c r="I94" s="1" t="s">
        <v>8384</v>
      </c>
      <c r="J94" s="44" t="s">
        <v>8385</v>
      </c>
      <c r="K94" s="44" t="s">
        <v>5112</v>
      </c>
      <c r="L94" s="1" t="s">
        <v>7392</v>
      </c>
      <c r="M94" s="1" t="s">
        <v>6596</v>
      </c>
      <c r="N94" s="1" t="s">
        <v>8080</v>
      </c>
    </row>
    <row r="95" spans="1:14">
      <c r="A95" s="1" t="s">
        <v>327</v>
      </c>
      <c r="B95" s="1" t="s">
        <v>328</v>
      </c>
      <c r="C95" s="1" t="s">
        <v>329</v>
      </c>
      <c r="D95" s="1" t="s">
        <v>454</v>
      </c>
      <c r="E95" s="1" t="s">
        <v>8386</v>
      </c>
      <c r="F95" s="1" t="s">
        <v>8387</v>
      </c>
      <c r="G95" t="s">
        <v>8388</v>
      </c>
      <c r="H95">
        <v>46091676</v>
      </c>
      <c r="I95" s="1" t="s">
        <v>8389</v>
      </c>
      <c r="J95" s="44" t="s">
        <v>8389</v>
      </c>
      <c r="K95" s="44" t="s">
        <v>5217</v>
      </c>
      <c r="L95" s="1" t="s">
        <v>6175</v>
      </c>
      <c r="M95" s="1" t="s">
        <v>7672</v>
      </c>
      <c r="N95" s="1" t="s">
        <v>8090</v>
      </c>
    </row>
    <row r="96" spans="1:14">
      <c r="A96" s="1" t="s">
        <v>351</v>
      </c>
      <c r="B96" s="1" t="s">
        <v>352</v>
      </c>
      <c r="C96" s="1" t="s">
        <v>353</v>
      </c>
      <c r="D96" s="1" t="s">
        <v>458</v>
      </c>
      <c r="E96" s="1" t="s">
        <v>8390</v>
      </c>
      <c r="F96" s="1" t="s">
        <v>8391</v>
      </c>
      <c r="G96" t="s">
        <v>8392</v>
      </c>
      <c r="H96">
        <v>45818099</v>
      </c>
      <c r="I96" s="1" t="s">
        <v>5542</v>
      </c>
      <c r="J96" s="44" t="s">
        <v>355</v>
      </c>
      <c r="K96" s="44" t="s">
        <v>5626</v>
      </c>
      <c r="L96" s="1" t="s">
        <v>5880</v>
      </c>
      <c r="M96" s="1" t="s">
        <v>6491</v>
      </c>
      <c r="N96" s="1" t="s">
        <v>8080</v>
      </c>
    </row>
    <row r="97" spans="1:14">
      <c r="A97" s="1" t="s">
        <v>426</v>
      </c>
      <c r="B97" s="1" t="s">
        <v>427</v>
      </c>
      <c r="C97" s="1" t="s">
        <v>428</v>
      </c>
      <c r="D97" s="1" t="s">
        <v>459</v>
      </c>
      <c r="E97" s="1" t="s">
        <v>8393</v>
      </c>
      <c r="F97" s="1" t="s">
        <v>8394</v>
      </c>
      <c r="G97" t="s">
        <v>8395</v>
      </c>
      <c r="H97">
        <v>44141824</v>
      </c>
      <c r="I97" s="1" t="s">
        <v>430</v>
      </c>
      <c r="J97" s="44" t="s">
        <v>431</v>
      </c>
      <c r="K97" s="44" t="s">
        <v>7220</v>
      </c>
      <c r="L97" s="1" t="s">
        <v>6998</v>
      </c>
      <c r="M97" s="1" t="s">
        <v>7599</v>
      </c>
      <c r="N97" s="1" t="s">
        <v>8396</v>
      </c>
    </row>
    <row r="98" spans="1:14">
      <c r="A98" s="1" t="s">
        <v>445</v>
      </c>
      <c r="B98" s="1" t="s">
        <v>446</v>
      </c>
      <c r="C98" s="1" t="s">
        <v>447</v>
      </c>
      <c r="D98" s="1" t="s">
        <v>464</v>
      </c>
      <c r="E98" s="1" t="s">
        <v>8397</v>
      </c>
      <c r="F98" s="1" t="s">
        <v>7753</v>
      </c>
      <c r="G98" t="s">
        <v>8398</v>
      </c>
      <c r="H98">
        <v>41372446</v>
      </c>
      <c r="I98" s="1" t="s">
        <v>449</v>
      </c>
      <c r="J98" s="44" t="s">
        <v>450</v>
      </c>
      <c r="K98" s="44" t="s">
        <v>5399</v>
      </c>
      <c r="L98" s="1" t="s">
        <v>6626</v>
      </c>
      <c r="M98" s="1" t="s">
        <v>6469</v>
      </c>
      <c r="N98" s="1" t="s">
        <v>8162</v>
      </c>
    </row>
    <row r="99" spans="1:14">
      <c r="A99" s="1" t="s">
        <v>399</v>
      </c>
      <c r="B99" s="1" t="s">
        <v>400</v>
      </c>
      <c r="C99" s="1" t="s">
        <v>401</v>
      </c>
      <c r="D99" s="1" t="s">
        <v>470</v>
      </c>
      <c r="E99" s="1" t="s">
        <v>8399</v>
      </c>
      <c r="F99" s="1" t="s">
        <v>8400</v>
      </c>
      <c r="G99" t="s">
        <v>8401</v>
      </c>
      <c r="H99">
        <v>40730950</v>
      </c>
      <c r="I99" s="1" t="s">
        <v>403</v>
      </c>
      <c r="J99" s="44" t="s">
        <v>234</v>
      </c>
      <c r="K99" s="44" t="s">
        <v>5853</v>
      </c>
      <c r="L99" s="1" t="s">
        <v>5556</v>
      </c>
      <c r="M99" s="1" t="s">
        <v>7432</v>
      </c>
      <c r="N99" s="1" t="s">
        <v>8102</v>
      </c>
    </row>
    <row r="100" spans="1:14">
      <c r="A100" s="1" t="s">
        <v>367</v>
      </c>
      <c r="B100" s="1" t="s">
        <v>368</v>
      </c>
      <c r="C100" s="1" t="s">
        <v>369</v>
      </c>
      <c r="D100" s="1" t="s">
        <v>474</v>
      </c>
      <c r="E100" s="1" t="s">
        <v>8402</v>
      </c>
      <c r="F100" s="1" t="s">
        <v>8403</v>
      </c>
      <c r="G100" t="s">
        <v>8404</v>
      </c>
      <c r="H100">
        <v>40308176</v>
      </c>
      <c r="I100" s="1" t="s">
        <v>6687</v>
      </c>
      <c r="J100" s="44" t="s">
        <v>371</v>
      </c>
      <c r="K100" s="44" t="s">
        <v>6032</v>
      </c>
      <c r="L100" s="1" t="s">
        <v>7936</v>
      </c>
      <c r="M100" s="1" t="s">
        <v>7167</v>
      </c>
      <c r="N100" s="1" t="s">
        <v>8121</v>
      </c>
    </row>
    <row r="101" spans="1:14">
      <c r="A101" s="1" t="s">
        <v>418</v>
      </c>
      <c r="B101" s="1" t="s">
        <v>419</v>
      </c>
      <c r="C101" s="1" t="s">
        <v>420</v>
      </c>
      <c r="D101" s="1" t="s">
        <v>478</v>
      </c>
      <c r="E101" s="1" t="s">
        <v>8405</v>
      </c>
      <c r="F101" s="1" t="s">
        <v>8406</v>
      </c>
      <c r="G101" t="s">
        <v>8407</v>
      </c>
      <c r="H101">
        <v>40114293</v>
      </c>
      <c r="I101" s="1" t="s">
        <v>8408</v>
      </c>
      <c r="J101" s="44" t="s">
        <v>8409</v>
      </c>
      <c r="K101" s="44" t="s">
        <v>5848</v>
      </c>
      <c r="L101" s="1" t="s">
        <v>5814</v>
      </c>
      <c r="M101" s="1" t="s">
        <v>7155</v>
      </c>
      <c r="N101" s="1" t="s">
        <v>8107</v>
      </c>
    </row>
    <row r="102" spans="1:14">
      <c r="A102" s="1" t="s">
        <v>432</v>
      </c>
      <c r="B102" s="1" t="s">
        <v>433</v>
      </c>
      <c r="C102" s="1" t="s">
        <v>434</v>
      </c>
      <c r="D102" s="1" t="s">
        <v>483</v>
      </c>
      <c r="E102" s="1" t="s">
        <v>8410</v>
      </c>
      <c r="F102" s="1" t="s">
        <v>7681</v>
      </c>
      <c r="G102" t="s">
        <v>8411</v>
      </c>
      <c r="H102">
        <v>38291170</v>
      </c>
      <c r="I102" s="1" t="s">
        <v>436</v>
      </c>
      <c r="J102" s="44" t="s">
        <v>436</v>
      </c>
      <c r="K102" s="44" t="s">
        <v>7048</v>
      </c>
      <c r="L102" s="1" t="s">
        <v>6090</v>
      </c>
      <c r="M102" s="1" t="s">
        <v>7752</v>
      </c>
      <c r="N102" s="1" t="s">
        <v>8137</v>
      </c>
    </row>
    <row r="103" spans="1:14">
      <c r="A103" s="1" t="s">
        <v>1421</v>
      </c>
      <c r="B103" s="1" t="s">
        <v>1422</v>
      </c>
      <c r="C103" s="1" t="s">
        <v>1423</v>
      </c>
      <c r="D103" s="1" t="s">
        <v>488</v>
      </c>
      <c r="E103" s="1" t="s">
        <v>8412</v>
      </c>
      <c r="F103" s="1" t="s">
        <v>1158</v>
      </c>
      <c r="G103" t="s">
        <v>8413</v>
      </c>
      <c r="H103">
        <v>37143414</v>
      </c>
      <c r="I103" s="1" t="s">
        <v>5078</v>
      </c>
      <c r="J103" s="44" t="s">
        <v>1425</v>
      </c>
      <c r="K103" s="44" t="s">
        <v>6260</v>
      </c>
      <c r="L103" s="1" t="s">
        <v>7805</v>
      </c>
      <c r="M103" s="1" t="s">
        <v>6545</v>
      </c>
      <c r="N103" s="1" t="s">
        <v>8171</v>
      </c>
    </row>
    <row r="104" spans="1:14">
      <c r="A104" s="1" t="s">
        <v>870</v>
      </c>
      <c r="B104" s="1" t="s">
        <v>871</v>
      </c>
      <c r="C104" s="1" t="s">
        <v>872</v>
      </c>
      <c r="D104" s="1" t="s">
        <v>492</v>
      </c>
      <c r="E104" s="1" t="s">
        <v>8414</v>
      </c>
      <c r="F104" s="1" t="s">
        <v>8415</v>
      </c>
      <c r="G104" t="s">
        <v>8416</v>
      </c>
      <c r="H104">
        <v>35570918</v>
      </c>
      <c r="I104" s="1" t="s">
        <v>874</v>
      </c>
      <c r="J104" s="44" t="s">
        <v>874</v>
      </c>
      <c r="K104" s="44" t="s">
        <v>5745</v>
      </c>
      <c r="L104" s="1" t="s">
        <v>8417</v>
      </c>
      <c r="M104" s="1" t="s">
        <v>6927</v>
      </c>
      <c r="N104" s="1" t="s">
        <v>8263</v>
      </c>
    </row>
    <row r="105" spans="1:14">
      <c r="A105" s="1" t="s">
        <v>414</v>
      </c>
      <c r="B105" s="1" t="s">
        <v>415</v>
      </c>
      <c r="C105" s="1" t="s">
        <v>416</v>
      </c>
      <c r="D105" s="1" t="s">
        <v>497</v>
      </c>
      <c r="E105" s="1" t="s">
        <v>8418</v>
      </c>
      <c r="F105" s="1" t="s">
        <v>7306</v>
      </c>
      <c r="G105" t="s">
        <v>8419</v>
      </c>
      <c r="H105">
        <v>35067141</v>
      </c>
      <c r="I105" s="1" t="s">
        <v>5213</v>
      </c>
      <c r="J105" s="44" t="s">
        <v>54</v>
      </c>
      <c r="K105" s="44" t="s">
        <v>5236</v>
      </c>
      <c r="L105" s="1" t="s">
        <v>7642</v>
      </c>
      <c r="M105" s="1" t="s">
        <v>7562</v>
      </c>
      <c r="N105" s="1" t="s">
        <v>8102</v>
      </c>
    </row>
    <row r="106" spans="1:14">
      <c r="A106" s="1" t="s">
        <v>5260</v>
      </c>
      <c r="B106" s="1" t="s">
        <v>5261</v>
      </c>
      <c r="C106" s="1" t="s">
        <v>5262</v>
      </c>
      <c r="D106" s="1" t="s">
        <v>501</v>
      </c>
      <c r="E106" s="1" t="s">
        <v>8420</v>
      </c>
      <c r="F106" s="1" t="s">
        <v>8421</v>
      </c>
      <c r="G106" t="s">
        <v>8422</v>
      </c>
      <c r="H106">
        <v>35040981</v>
      </c>
      <c r="I106" s="1" t="s">
        <v>5263</v>
      </c>
      <c r="J106" s="44" t="s">
        <v>5862</v>
      </c>
      <c r="K106" s="44" t="s">
        <v>5775</v>
      </c>
      <c r="L106" s="1" t="s">
        <v>6193</v>
      </c>
      <c r="M106" s="1"/>
      <c r="N106" s="1" t="s">
        <v>8140</v>
      </c>
    </row>
    <row r="107" spans="1:14">
      <c r="A107" s="1" t="s">
        <v>5134</v>
      </c>
      <c r="B107" s="1" t="s">
        <v>5135</v>
      </c>
      <c r="C107" s="1" t="s">
        <v>5136</v>
      </c>
      <c r="D107" s="1" t="s">
        <v>505</v>
      </c>
      <c r="E107" s="1" t="s">
        <v>7748</v>
      </c>
      <c r="F107" s="1" t="s">
        <v>8423</v>
      </c>
      <c r="G107" t="s">
        <v>8424</v>
      </c>
      <c r="H107">
        <v>34574357</v>
      </c>
      <c r="I107" s="1" t="s">
        <v>5866</v>
      </c>
      <c r="J107" s="44" t="s">
        <v>5867</v>
      </c>
      <c r="K107" s="44" t="s">
        <v>7894</v>
      </c>
      <c r="L107" s="1" t="s">
        <v>8425</v>
      </c>
      <c r="M107" s="1" t="s">
        <v>8426</v>
      </c>
      <c r="N107" s="1" t="s">
        <v>8140</v>
      </c>
    </row>
    <row r="108" spans="1:14">
      <c r="A108" s="1" t="s">
        <v>5022</v>
      </c>
      <c r="B108" s="1" t="s">
        <v>5023</v>
      </c>
      <c r="C108" s="1" t="s">
        <v>5024</v>
      </c>
      <c r="D108" s="1" t="s">
        <v>510</v>
      </c>
      <c r="E108" s="1" t="s">
        <v>8427</v>
      </c>
      <c r="F108" s="1" t="s">
        <v>7582</v>
      </c>
      <c r="G108" t="s">
        <v>8428</v>
      </c>
      <c r="H108">
        <v>34570593</v>
      </c>
      <c r="I108" s="1" t="s">
        <v>8429</v>
      </c>
      <c r="J108" s="44" t="s">
        <v>8430</v>
      </c>
      <c r="K108" s="44" t="s">
        <v>5061</v>
      </c>
      <c r="L108" s="1" t="s">
        <v>6121</v>
      </c>
      <c r="M108" s="1" t="s">
        <v>6979</v>
      </c>
      <c r="N108" s="1" t="s">
        <v>8213</v>
      </c>
    </row>
    <row r="109" spans="1:14">
      <c r="A109" s="1" t="s">
        <v>564</v>
      </c>
      <c r="B109" s="1" t="s">
        <v>565</v>
      </c>
      <c r="C109" s="1" t="s">
        <v>566</v>
      </c>
      <c r="D109" s="1" t="s">
        <v>514</v>
      </c>
      <c r="E109" s="1" t="s">
        <v>8431</v>
      </c>
      <c r="F109" s="1" t="s">
        <v>8432</v>
      </c>
      <c r="G109" t="s">
        <v>8433</v>
      </c>
      <c r="H109">
        <v>34510787</v>
      </c>
      <c r="I109" s="1" t="s">
        <v>7583</v>
      </c>
      <c r="J109" s="44" t="s">
        <v>7583</v>
      </c>
      <c r="K109" s="44" t="s">
        <v>5130</v>
      </c>
      <c r="L109" s="1" t="s">
        <v>5380</v>
      </c>
      <c r="M109" s="1" t="s">
        <v>7863</v>
      </c>
      <c r="N109" s="1" t="s">
        <v>8065</v>
      </c>
    </row>
    <row r="110" spans="1:14">
      <c r="A110" s="1" t="s">
        <v>6151</v>
      </c>
      <c r="B110" s="1" t="s">
        <v>6152</v>
      </c>
      <c r="C110" s="1" t="s">
        <v>6153</v>
      </c>
      <c r="D110" s="1" t="s">
        <v>520</v>
      </c>
      <c r="E110" s="1" t="s">
        <v>8434</v>
      </c>
      <c r="F110" s="1" t="s">
        <v>8435</v>
      </c>
      <c r="G110" t="s">
        <v>8436</v>
      </c>
      <c r="H110">
        <v>34406120</v>
      </c>
      <c r="I110" s="1" t="s">
        <v>521</v>
      </c>
      <c r="J110" s="44" t="s">
        <v>259</v>
      </c>
      <c r="K110" s="44" t="s">
        <v>7293</v>
      </c>
      <c r="L110" s="1"/>
      <c r="M110" s="1"/>
      <c r="N110" s="1" t="s">
        <v>8437</v>
      </c>
    </row>
    <row r="111" spans="1:14">
      <c r="A111" s="1" t="s">
        <v>494</v>
      </c>
      <c r="B111" s="1" t="s">
        <v>495</v>
      </c>
      <c r="C111" s="1" t="s">
        <v>496</v>
      </c>
      <c r="D111" s="1" t="s">
        <v>525</v>
      </c>
      <c r="E111" s="1" t="s">
        <v>8438</v>
      </c>
      <c r="F111" s="1" t="s">
        <v>8439</v>
      </c>
      <c r="G111" t="s">
        <v>8440</v>
      </c>
      <c r="H111">
        <v>34305870</v>
      </c>
      <c r="I111" s="1" t="s">
        <v>498</v>
      </c>
      <c r="J111" s="44" t="s">
        <v>4913</v>
      </c>
      <c r="K111" s="44" t="s">
        <v>5236</v>
      </c>
      <c r="L111" s="1" t="s">
        <v>6411</v>
      </c>
      <c r="M111" s="1" t="s">
        <v>6548</v>
      </c>
      <c r="N111" s="1" t="s">
        <v>8186</v>
      </c>
    </row>
    <row r="112" spans="1:14">
      <c r="A112" s="1" t="s">
        <v>522</v>
      </c>
      <c r="B112" s="1" t="s">
        <v>523</v>
      </c>
      <c r="C112" s="1" t="s">
        <v>524</v>
      </c>
      <c r="D112" s="1" t="s">
        <v>530</v>
      </c>
      <c r="E112" s="1" t="s">
        <v>8441</v>
      </c>
      <c r="F112" s="1" t="s">
        <v>8442</v>
      </c>
      <c r="G112" t="s">
        <v>8443</v>
      </c>
      <c r="H112">
        <v>34212226</v>
      </c>
      <c r="I112" s="1" t="s">
        <v>526</v>
      </c>
      <c r="J112" s="44" t="s">
        <v>526</v>
      </c>
      <c r="K112" s="44" t="s">
        <v>5846</v>
      </c>
      <c r="L112" s="1" t="s">
        <v>7373</v>
      </c>
      <c r="M112" s="1" t="s">
        <v>7874</v>
      </c>
      <c r="N112" s="1" t="s">
        <v>8162</v>
      </c>
    </row>
    <row r="113" spans="1:14">
      <c r="A113" s="1" t="s">
        <v>404</v>
      </c>
      <c r="B113" s="1" t="s">
        <v>405</v>
      </c>
      <c r="C113" s="1" t="s">
        <v>406</v>
      </c>
      <c r="D113" s="1" t="s">
        <v>536</v>
      </c>
      <c r="E113" s="1" t="s">
        <v>8444</v>
      </c>
      <c r="F113" s="1" t="s">
        <v>7939</v>
      </c>
      <c r="G113" t="s">
        <v>8445</v>
      </c>
      <c r="H113">
        <v>33509266</v>
      </c>
      <c r="I113" s="1" t="s">
        <v>8446</v>
      </c>
      <c r="J113" s="44" t="s">
        <v>8446</v>
      </c>
      <c r="K113" s="44" t="s">
        <v>5122</v>
      </c>
      <c r="L113" s="1" t="s">
        <v>5685</v>
      </c>
      <c r="M113" s="1" t="s">
        <v>6547</v>
      </c>
      <c r="N113" s="1" t="s">
        <v>8190</v>
      </c>
    </row>
    <row r="114" spans="1:14">
      <c r="A114" s="1" t="s">
        <v>381</v>
      </c>
      <c r="B114" s="1" t="s">
        <v>382</v>
      </c>
      <c r="C114" s="1" t="s">
        <v>383</v>
      </c>
      <c r="D114" s="1" t="s">
        <v>542</v>
      </c>
      <c r="E114" s="1" t="s">
        <v>8447</v>
      </c>
      <c r="F114" s="1" t="s">
        <v>7791</v>
      </c>
      <c r="G114" t="s">
        <v>8448</v>
      </c>
      <c r="H114">
        <v>33484043</v>
      </c>
      <c r="I114" s="1" t="s">
        <v>8449</v>
      </c>
      <c r="J114" s="44" t="s">
        <v>8449</v>
      </c>
      <c r="K114" s="44" t="s">
        <v>6586</v>
      </c>
      <c r="L114" s="1" t="s">
        <v>7489</v>
      </c>
      <c r="M114" s="1" t="s">
        <v>7388</v>
      </c>
      <c r="N114" s="1" t="s">
        <v>8112</v>
      </c>
    </row>
    <row r="115" spans="1:14">
      <c r="A115" s="1" t="s">
        <v>480</v>
      </c>
      <c r="B115" s="1" t="s">
        <v>481</v>
      </c>
      <c r="C115" s="1" t="s">
        <v>482</v>
      </c>
      <c r="D115" s="1" t="s">
        <v>546</v>
      </c>
      <c r="E115" s="1" t="s">
        <v>8450</v>
      </c>
      <c r="F115" s="1" t="s">
        <v>6688</v>
      </c>
      <c r="G115" t="s">
        <v>8451</v>
      </c>
      <c r="H115">
        <v>32802242</v>
      </c>
      <c r="I115" s="1" t="s">
        <v>484</v>
      </c>
      <c r="J115" s="44" t="s">
        <v>484</v>
      </c>
      <c r="K115" s="44" t="s">
        <v>6119</v>
      </c>
      <c r="L115" s="1" t="s">
        <v>6621</v>
      </c>
      <c r="M115" s="1" t="s">
        <v>7310</v>
      </c>
      <c r="N115" s="1" t="s">
        <v>8107</v>
      </c>
    </row>
    <row r="116" spans="1:14">
      <c r="A116" s="1" t="s">
        <v>4986</v>
      </c>
      <c r="B116" s="1" t="s">
        <v>4987</v>
      </c>
      <c r="C116" s="1" t="s">
        <v>4988</v>
      </c>
      <c r="D116" s="1" t="s">
        <v>551</v>
      </c>
      <c r="E116" s="1" t="s">
        <v>8452</v>
      </c>
      <c r="F116" s="1" t="s">
        <v>8453</v>
      </c>
      <c r="G116" t="s">
        <v>8454</v>
      </c>
      <c r="H116">
        <v>32360318</v>
      </c>
      <c r="I116" s="1" t="s">
        <v>5668</v>
      </c>
      <c r="J116" s="44" t="s">
        <v>4989</v>
      </c>
      <c r="K116" s="44" t="s">
        <v>6174</v>
      </c>
      <c r="L116" s="1" t="s">
        <v>5859</v>
      </c>
      <c r="M116" s="1" t="s">
        <v>6532</v>
      </c>
      <c r="N116" s="1" t="s">
        <v>8213</v>
      </c>
    </row>
    <row r="117" spans="1:14">
      <c r="A117" s="1" t="s">
        <v>390</v>
      </c>
      <c r="B117" s="1" t="s">
        <v>391</v>
      </c>
      <c r="C117" s="1" t="s">
        <v>392</v>
      </c>
      <c r="D117" s="1" t="s">
        <v>557</v>
      </c>
      <c r="E117" s="1" t="s">
        <v>8455</v>
      </c>
      <c r="F117" s="1" t="s">
        <v>8456</v>
      </c>
      <c r="G117" t="s">
        <v>8457</v>
      </c>
      <c r="H117">
        <v>32115433</v>
      </c>
      <c r="I117" s="1" t="s">
        <v>4912</v>
      </c>
      <c r="J117" s="44" t="s">
        <v>138</v>
      </c>
      <c r="K117" s="44" t="s">
        <v>5179</v>
      </c>
      <c r="L117" s="1" t="s">
        <v>5497</v>
      </c>
      <c r="M117" s="1" t="s">
        <v>7256</v>
      </c>
      <c r="N117" s="1" t="s">
        <v>8213</v>
      </c>
    </row>
    <row r="118" spans="1:14">
      <c r="A118" s="1" t="s">
        <v>5320</v>
      </c>
      <c r="B118" s="1" t="s">
        <v>5321</v>
      </c>
      <c r="C118" s="1" t="s">
        <v>5322</v>
      </c>
      <c r="D118" s="1" t="s">
        <v>563</v>
      </c>
      <c r="E118" s="1" t="s">
        <v>8458</v>
      </c>
      <c r="F118" s="1" t="s">
        <v>7007</v>
      </c>
      <c r="G118" t="s">
        <v>8459</v>
      </c>
      <c r="H118">
        <v>30842061</v>
      </c>
      <c r="I118" s="1" t="s">
        <v>6165</v>
      </c>
      <c r="J118" s="44" t="s">
        <v>6166</v>
      </c>
      <c r="K118" s="44" t="s">
        <v>8460</v>
      </c>
      <c r="L118" s="1" t="s">
        <v>8461</v>
      </c>
      <c r="M118" s="1" t="s">
        <v>6641</v>
      </c>
      <c r="N118" s="1" t="s">
        <v>8140</v>
      </c>
    </row>
    <row r="119" spans="1:14">
      <c r="A119" s="1" t="s">
        <v>548</v>
      </c>
      <c r="B119" s="1" t="s">
        <v>549</v>
      </c>
      <c r="C119" s="1" t="s">
        <v>550</v>
      </c>
      <c r="D119" s="1" t="s">
        <v>567</v>
      </c>
      <c r="E119" s="1" t="s">
        <v>8462</v>
      </c>
      <c r="F119" s="1" t="s">
        <v>8463</v>
      </c>
      <c r="G119" t="s">
        <v>8464</v>
      </c>
      <c r="H119">
        <v>30807516</v>
      </c>
      <c r="I119" s="1" t="s">
        <v>552</v>
      </c>
      <c r="J119" s="44" t="s">
        <v>553</v>
      </c>
      <c r="K119" s="44" t="s">
        <v>5401</v>
      </c>
      <c r="L119" s="1" t="s">
        <v>5050</v>
      </c>
      <c r="M119" s="1" t="s">
        <v>6197</v>
      </c>
      <c r="N119" s="1" t="s">
        <v>8065</v>
      </c>
    </row>
    <row r="120" spans="1:14">
      <c r="A120" s="1" t="s">
        <v>362</v>
      </c>
      <c r="B120" s="1" t="s">
        <v>363</v>
      </c>
      <c r="C120" s="1" t="s">
        <v>364</v>
      </c>
      <c r="D120" s="1" t="s">
        <v>571</v>
      </c>
      <c r="E120" s="1" t="s">
        <v>8465</v>
      </c>
      <c r="F120" s="1" t="s">
        <v>8466</v>
      </c>
      <c r="G120" t="s">
        <v>8467</v>
      </c>
      <c r="H120">
        <v>30783646</v>
      </c>
      <c r="I120" s="1" t="s">
        <v>6156</v>
      </c>
      <c r="J120" s="44" t="s">
        <v>366</v>
      </c>
      <c r="K120" s="44" t="s">
        <v>5521</v>
      </c>
      <c r="L120" s="1" t="s">
        <v>5374</v>
      </c>
      <c r="M120" s="1" t="s">
        <v>7381</v>
      </c>
      <c r="N120" s="1" t="s">
        <v>8140</v>
      </c>
    </row>
    <row r="121" spans="1:14">
      <c r="A121" s="1" t="s">
        <v>629</v>
      </c>
      <c r="B121" s="1" t="s">
        <v>630</v>
      </c>
      <c r="C121" s="1" t="s">
        <v>631</v>
      </c>
      <c r="D121" s="1" t="s">
        <v>575</v>
      </c>
      <c r="E121" s="1" t="s">
        <v>8468</v>
      </c>
      <c r="F121" s="1" t="s">
        <v>8469</v>
      </c>
      <c r="G121" t="s">
        <v>8470</v>
      </c>
      <c r="H121">
        <v>30657123</v>
      </c>
      <c r="I121" s="1" t="s">
        <v>8471</v>
      </c>
      <c r="J121" s="44" t="s">
        <v>8471</v>
      </c>
      <c r="K121" s="44" t="s">
        <v>5651</v>
      </c>
      <c r="L121" s="1" t="s">
        <v>5821</v>
      </c>
      <c r="M121" s="1" t="s">
        <v>7083</v>
      </c>
      <c r="N121" s="1" t="s">
        <v>8090</v>
      </c>
    </row>
    <row r="122" spans="1:14">
      <c r="A122" s="1" t="s">
        <v>461</v>
      </c>
      <c r="B122" s="1" t="s">
        <v>462</v>
      </c>
      <c r="C122" s="1" t="s">
        <v>463</v>
      </c>
      <c r="D122" s="1" t="s">
        <v>580</v>
      </c>
      <c r="E122" s="1" t="s">
        <v>8472</v>
      </c>
      <c r="F122" s="1" t="s">
        <v>8473</v>
      </c>
      <c r="G122" t="s">
        <v>8474</v>
      </c>
      <c r="H122">
        <v>30417892</v>
      </c>
      <c r="I122" s="1" t="s">
        <v>465</v>
      </c>
      <c r="J122" s="44" t="s">
        <v>466</v>
      </c>
      <c r="K122" s="44" t="s">
        <v>6146</v>
      </c>
      <c r="L122" s="1" t="s">
        <v>6520</v>
      </c>
      <c r="M122" s="1" t="s">
        <v>6633</v>
      </c>
      <c r="N122" s="1" t="s">
        <v>8133</v>
      </c>
    </row>
    <row r="123" spans="1:14">
      <c r="A123" s="1" t="s">
        <v>539</v>
      </c>
      <c r="B123" s="1" t="s">
        <v>540</v>
      </c>
      <c r="C123" s="1" t="s">
        <v>541</v>
      </c>
      <c r="D123" s="1" t="s">
        <v>585</v>
      </c>
      <c r="E123" s="1" t="s">
        <v>8475</v>
      </c>
      <c r="F123" s="1" t="s">
        <v>7322</v>
      </c>
      <c r="G123" t="s">
        <v>8476</v>
      </c>
      <c r="H123">
        <v>30363656</v>
      </c>
      <c r="I123" s="1" t="s">
        <v>8477</v>
      </c>
      <c r="J123" s="44" t="s">
        <v>8477</v>
      </c>
      <c r="K123" s="44" t="s">
        <v>7502</v>
      </c>
      <c r="L123" s="1" t="s">
        <v>7995</v>
      </c>
      <c r="M123" s="1" t="s">
        <v>8478</v>
      </c>
      <c r="N123" s="1" t="s">
        <v>8107</v>
      </c>
    </row>
    <row r="124" spans="1:14">
      <c r="A124" s="1" t="s">
        <v>467</v>
      </c>
      <c r="B124" s="1" t="s">
        <v>468</v>
      </c>
      <c r="C124" s="1" t="s">
        <v>469</v>
      </c>
      <c r="D124" s="1" t="s">
        <v>589</v>
      </c>
      <c r="E124" s="1" t="s">
        <v>8479</v>
      </c>
      <c r="F124" s="1" t="s">
        <v>8480</v>
      </c>
      <c r="G124" t="s">
        <v>8481</v>
      </c>
      <c r="H124">
        <v>30061507</v>
      </c>
      <c r="I124" s="1" t="s">
        <v>8482</v>
      </c>
      <c r="J124" s="44" t="s">
        <v>8482</v>
      </c>
      <c r="K124" s="44" t="s">
        <v>5405</v>
      </c>
      <c r="L124" s="1" t="s">
        <v>6120</v>
      </c>
      <c r="M124" s="1" t="s">
        <v>6212</v>
      </c>
      <c r="N124" s="1" t="s">
        <v>8483</v>
      </c>
    </row>
    <row r="125" spans="1:14">
      <c r="A125" s="1" t="s">
        <v>4920</v>
      </c>
      <c r="B125" s="1" t="s">
        <v>4921</v>
      </c>
      <c r="C125" s="1" t="s">
        <v>4922</v>
      </c>
      <c r="D125" s="1" t="s">
        <v>593</v>
      </c>
      <c r="E125" s="1" t="s">
        <v>8484</v>
      </c>
      <c r="F125" s="1" t="s">
        <v>8485</v>
      </c>
      <c r="G125" t="s">
        <v>8486</v>
      </c>
      <c r="H125">
        <v>28973030</v>
      </c>
      <c r="I125" s="1" t="s">
        <v>8487</v>
      </c>
      <c r="J125" s="44" t="s">
        <v>8488</v>
      </c>
      <c r="K125" s="44" t="s">
        <v>5884</v>
      </c>
      <c r="L125" s="1" t="s">
        <v>7164</v>
      </c>
      <c r="M125" s="1" t="s">
        <v>8489</v>
      </c>
      <c r="N125" s="1" t="s">
        <v>8140</v>
      </c>
    </row>
    <row r="126" spans="1:14">
      <c r="A126" s="1" t="s">
        <v>475</v>
      </c>
      <c r="B126" s="1" t="s">
        <v>476</v>
      </c>
      <c r="C126" s="1" t="s">
        <v>477</v>
      </c>
      <c r="D126" s="1" t="s">
        <v>597</v>
      </c>
      <c r="E126" s="1" t="s">
        <v>8490</v>
      </c>
      <c r="F126" s="1" t="s">
        <v>1917</v>
      </c>
      <c r="G126" t="s">
        <v>8491</v>
      </c>
      <c r="H126">
        <v>28845934</v>
      </c>
      <c r="I126" s="1" t="s">
        <v>6157</v>
      </c>
      <c r="J126" s="44" t="s">
        <v>6157</v>
      </c>
      <c r="K126" s="44" t="s">
        <v>5416</v>
      </c>
      <c r="L126" s="1" t="s">
        <v>5850</v>
      </c>
      <c r="M126" s="1" t="s">
        <v>7685</v>
      </c>
      <c r="N126" s="1" t="s">
        <v>8107</v>
      </c>
    </row>
    <row r="127" spans="1:14">
      <c r="A127" s="1" t="s">
        <v>577</v>
      </c>
      <c r="B127" s="1" t="s">
        <v>578</v>
      </c>
      <c r="C127" s="1" t="s">
        <v>579</v>
      </c>
      <c r="D127" s="1" t="s">
        <v>602</v>
      </c>
      <c r="E127" s="1" t="s">
        <v>8492</v>
      </c>
      <c r="F127" s="1" t="s">
        <v>8493</v>
      </c>
      <c r="G127" t="s">
        <v>8494</v>
      </c>
      <c r="H127">
        <v>28607512</v>
      </c>
      <c r="I127" s="1" t="s">
        <v>581</v>
      </c>
      <c r="J127" s="44" t="s">
        <v>582</v>
      </c>
      <c r="K127" s="44" t="s">
        <v>5871</v>
      </c>
      <c r="L127" s="1" t="s">
        <v>7417</v>
      </c>
      <c r="M127" s="1" t="s">
        <v>8495</v>
      </c>
      <c r="N127" s="1" t="s">
        <v>8171</v>
      </c>
    </row>
    <row r="128" spans="1:14">
      <c r="A128" s="1" t="s">
        <v>499</v>
      </c>
      <c r="B128" s="1" t="s">
        <v>499</v>
      </c>
      <c r="C128" s="1" t="s">
        <v>500</v>
      </c>
      <c r="D128" s="1" t="s">
        <v>607</v>
      </c>
      <c r="E128" s="1" t="s">
        <v>8496</v>
      </c>
      <c r="F128" s="1" t="s">
        <v>8497</v>
      </c>
      <c r="G128" t="s">
        <v>8498</v>
      </c>
      <c r="H128">
        <v>28596480</v>
      </c>
      <c r="I128" s="1" t="s">
        <v>282</v>
      </c>
      <c r="J128" s="44" t="s">
        <v>138</v>
      </c>
      <c r="K128" s="44" t="s">
        <v>5741</v>
      </c>
      <c r="L128" s="1" t="s">
        <v>5872</v>
      </c>
      <c r="M128" s="1" t="s">
        <v>7719</v>
      </c>
      <c r="N128" s="1" t="s">
        <v>8171</v>
      </c>
    </row>
    <row r="129" spans="1:14">
      <c r="A129" s="1" t="s">
        <v>624</v>
      </c>
      <c r="B129" s="1" t="s">
        <v>625</v>
      </c>
      <c r="C129" s="1" t="s">
        <v>626</v>
      </c>
      <c r="D129" s="1" t="s">
        <v>612</v>
      </c>
      <c r="E129" s="1" t="s">
        <v>8499</v>
      </c>
      <c r="F129" s="1" t="s">
        <v>8500</v>
      </c>
      <c r="G129" t="s">
        <v>8501</v>
      </c>
      <c r="H129">
        <v>28057808</v>
      </c>
      <c r="I129" s="1" t="s">
        <v>628</v>
      </c>
      <c r="J129" s="44" t="s">
        <v>54</v>
      </c>
      <c r="K129" s="44" t="s">
        <v>6352</v>
      </c>
      <c r="L129" s="1" t="s">
        <v>7309</v>
      </c>
      <c r="M129" s="1" t="s">
        <v>8502</v>
      </c>
      <c r="N129" s="1" t="s">
        <v>8396</v>
      </c>
    </row>
    <row r="130" spans="1:14">
      <c r="A130" s="1" t="s">
        <v>654</v>
      </c>
      <c r="B130" s="1" t="s">
        <v>655</v>
      </c>
      <c r="C130" s="1" t="s">
        <v>656</v>
      </c>
      <c r="D130" s="1" t="s">
        <v>617</v>
      </c>
      <c r="E130" s="1" t="s">
        <v>8503</v>
      </c>
      <c r="F130" s="1" t="s">
        <v>8504</v>
      </c>
      <c r="G130" t="s">
        <v>8505</v>
      </c>
      <c r="H130">
        <v>28045470</v>
      </c>
      <c r="I130" s="1" t="s">
        <v>658</v>
      </c>
      <c r="J130" s="44" t="s">
        <v>659</v>
      </c>
      <c r="K130" s="44" t="s">
        <v>5555</v>
      </c>
      <c r="L130" s="1" t="s">
        <v>5870</v>
      </c>
      <c r="M130" s="1" t="s">
        <v>7304</v>
      </c>
      <c r="N130" s="1" t="s">
        <v>8186</v>
      </c>
    </row>
    <row r="131" spans="1:14">
      <c r="A131" s="1" t="s">
        <v>586</v>
      </c>
      <c r="B131" s="1" t="s">
        <v>587</v>
      </c>
      <c r="C131" s="1" t="s">
        <v>588</v>
      </c>
      <c r="D131" s="1" t="s">
        <v>622</v>
      </c>
      <c r="E131" s="1" t="s">
        <v>8506</v>
      </c>
      <c r="F131" s="1" t="s">
        <v>8507</v>
      </c>
      <c r="G131" t="s">
        <v>8508</v>
      </c>
      <c r="H131">
        <v>27623470</v>
      </c>
      <c r="I131" s="1" t="s">
        <v>4914</v>
      </c>
      <c r="J131" s="44" t="s">
        <v>54</v>
      </c>
      <c r="K131" s="44" t="s">
        <v>5769</v>
      </c>
      <c r="L131" s="1" t="s">
        <v>6143</v>
      </c>
      <c r="M131" s="1" t="s">
        <v>5143</v>
      </c>
      <c r="N131" s="1" t="s">
        <v>8080</v>
      </c>
    </row>
    <row r="132" spans="1:14">
      <c r="A132" s="1" t="s">
        <v>511</v>
      </c>
      <c r="B132" s="1" t="s">
        <v>512</v>
      </c>
      <c r="C132" s="1" t="s">
        <v>513</v>
      </c>
      <c r="D132" s="1" t="s">
        <v>627</v>
      </c>
      <c r="E132" s="1" t="s">
        <v>8509</v>
      </c>
      <c r="F132" s="1" t="s">
        <v>8510</v>
      </c>
      <c r="G132" t="s">
        <v>8511</v>
      </c>
      <c r="H132">
        <v>27487304</v>
      </c>
      <c r="I132" s="1" t="s">
        <v>515</v>
      </c>
      <c r="J132" s="44" t="s">
        <v>516</v>
      </c>
      <c r="K132" s="44" t="s">
        <v>5878</v>
      </c>
      <c r="L132" s="1" t="s">
        <v>7787</v>
      </c>
      <c r="M132" s="1" t="s">
        <v>6343</v>
      </c>
      <c r="N132" s="1" t="s">
        <v>8102</v>
      </c>
    </row>
    <row r="133" spans="1:14">
      <c r="A133" s="1" t="s">
        <v>560</v>
      </c>
      <c r="B133" s="1" t="s">
        <v>561</v>
      </c>
      <c r="C133" s="1" t="s">
        <v>562</v>
      </c>
      <c r="D133" s="1" t="s">
        <v>632</v>
      </c>
      <c r="E133" s="1" t="s">
        <v>8512</v>
      </c>
      <c r="F133" s="1" t="s">
        <v>8513</v>
      </c>
      <c r="G133" t="s">
        <v>8514</v>
      </c>
      <c r="H133">
        <v>27006955</v>
      </c>
      <c r="I133" s="1" t="s">
        <v>8515</v>
      </c>
      <c r="J133" s="44" t="s">
        <v>8515</v>
      </c>
      <c r="K133" s="44" t="s">
        <v>5540</v>
      </c>
      <c r="L133" s="1" t="s">
        <v>5374</v>
      </c>
      <c r="M133" s="1" t="s">
        <v>7134</v>
      </c>
      <c r="N133" s="1" t="s">
        <v>8152</v>
      </c>
    </row>
    <row r="134" spans="1:14">
      <c r="A134" s="1" t="s">
        <v>719</v>
      </c>
      <c r="B134" s="1" t="s">
        <v>720</v>
      </c>
      <c r="C134" s="1" t="s">
        <v>721</v>
      </c>
      <c r="D134" s="1" t="s">
        <v>636</v>
      </c>
      <c r="E134" s="1" t="s">
        <v>8516</v>
      </c>
      <c r="F134" s="1" t="s">
        <v>8517</v>
      </c>
      <c r="G134" t="s">
        <v>8518</v>
      </c>
      <c r="H134">
        <v>25483037</v>
      </c>
      <c r="I134" s="1" t="s">
        <v>6159</v>
      </c>
      <c r="J134" s="44" t="s">
        <v>6159</v>
      </c>
      <c r="K134" s="44" t="s">
        <v>6144</v>
      </c>
      <c r="L134" s="1" t="s">
        <v>5752</v>
      </c>
      <c r="M134" s="1" t="s">
        <v>7454</v>
      </c>
      <c r="N134" s="1" t="s">
        <v>8085</v>
      </c>
    </row>
    <row r="135" spans="1:14">
      <c r="A135" s="1" t="s">
        <v>4915</v>
      </c>
      <c r="B135" s="1" t="s">
        <v>4916</v>
      </c>
      <c r="C135" s="1" t="s">
        <v>4917</v>
      </c>
      <c r="D135" s="1" t="s">
        <v>640</v>
      </c>
      <c r="E135" s="1" t="s">
        <v>8519</v>
      </c>
      <c r="F135" s="1" t="s">
        <v>7014</v>
      </c>
      <c r="G135" t="s">
        <v>8520</v>
      </c>
      <c r="H135">
        <v>25227492</v>
      </c>
      <c r="I135" s="1" t="s">
        <v>4918</v>
      </c>
      <c r="J135" s="44" t="s">
        <v>4919</v>
      </c>
      <c r="K135" s="44" t="s">
        <v>5063</v>
      </c>
      <c r="L135" s="1" t="s">
        <v>6142</v>
      </c>
      <c r="M135" s="1" t="s">
        <v>8521</v>
      </c>
      <c r="N135" s="1" t="s">
        <v>8140</v>
      </c>
    </row>
    <row r="136" spans="1:14">
      <c r="A136" s="1" t="s">
        <v>650</v>
      </c>
      <c r="B136" s="1" t="s">
        <v>651</v>
      </c>
      <c r="C136" s="1" t="s">
        <v>652</v>
      </c>
      <c r="D136" s="1" t="s">
        <v>644</v>
      </c>
      <c r="E136" s="1" t="s">
        <v>8522</v>
      </c>
      <c r="F136" s="1" t="s">
        <v>6667</v>
      </c>
      <c r="G136" t="s">
        <v>8523</v>
      </c>
      <c r="H136">
        <v>25080842</v>
      </c>
      <c r="I136" s="1" t="s">
        <v>5133</v>
      </c>
      <c r="J136" s="44" t="s">
        <v>138</v>
      </c>
      <c r="K136" s="44" t="s">
        <v>5844</v>
      </c>
      <c r="L136" s="1" t="s">
        <v>6624</v>
      </c>
      <c r="M136" s="1" t="s">
        <v>7650</v>
      </c>
      <c r="N136" s="1" t="s">
        <v>8171</v>
      </c>
    </row>
    <row r="137" spans="1:14">
      <c r="A137" s="1" t="s">
        <v>471</v>
      </c>
      <c r="B137" s="1" t="s">
        <v>472</v>
      </c>
      <c r="C137" s="1" t="s">
        <v>473</v>
      </c>
      <c r="D137" s="1" t="s">
        <v>649</v>
      </c>
      <c r="E137" s="1" t="s">
        <v>8524</v>
      </c>
      <c r="F137" s="1" t="s">
        <v>8525</v>
      </c>
      <c r="G137" t="s">
        <v>8526</v>
      </c>
      <c r="H137">
        <v>24951258</v>
      </c>
      <c r="I137" s="1" t="s">
        <v>6161</v>
      </c>
      <c r="J137" s="44" t="s">
        <v>6161</v>
      </c>
      <c r="K137" s="44" t="s">
        <v>5688</v>
      </c>
      <c r="L137" s="1" t="s">
        <v>5502</v>
      </c>
      <c r="M137" s="1" t="s">
        <v>7193</v>
      </c>
      <c r="N137" s="1" t="s">
        <v>8107</v>
      </c>
    </row>
    <row r="138" spans="1:14">
      <c r="A138" s="1" t="s">
        <v>772</v>
      </c>
      <c r="B138" s="1" t="s">
        <v>773</v>
      </c>
      <c r="C138" s="1" t="s">
        <v>774</v>
      </c>
      <c r="D138" s="1" t="s">
        <v>653</v>
      </c>
      <c r="E138" s="1" t="s">
        <v>8527</v>
      </c>
      <c r="F138" s="1" t="s">
        <v>7941</v>
      </c>
      <c r="G138" t="s">
        <v>8528</v>
      </c>
      <c r="H138">
        <v>24479678</v>
      </c>
      <c r="I138" s="1" t="s">
        <v>8529</v>
      </c>
      <c r="J138" s="44" t="s">
        <v>8529</v>
      </c>
      <c r="K138" s="44" t="s">
        <v>5407</v>
      </c>
      <c r="L138" s="1" t="s">
        <v>8530</v>
      </c>
      <c r="M138" s="1" t="s">
        <v>8531</v>
      </c>
      <c r="N138" s="1" t="s">
        <v>8152</v>
      </c>
    </row>
    <row r="139" spans="1:14">
      <c r="A139" s="1" t="s">
        <v>507</v>
      </c>
      <c r="B139" s="1" t="s">
        <v>508</v>
      </c>
      <c r="C139" s="1" t="s">
        <v>509</v>
      </c>
      <c r="D139" s="1" t="s">
        <v>657</v>
      </c>
      <c r="E139" s="1" t="s">
        <v>8532</v>
      </c>
      <c r="F139" s="1" t="s">
        <v>7793</v>
      </c>
      <c r="G139" t="s">
        <v>8533</v>
      </c>
      <c r="H139">
        <v>24342343</v>
      </c>
      <c r="I139" s="1" t="s">
        <v>8534</v>
      </c>
      <c r="J139" s="44" t="s">
        <v>8534</v>
      </c>
      <c r="K139" s="44" t="s">
        <v>5620</v>
      </c>
      <c r="L139" s="1" t="s">
        <v>5741</v>
      </c>
      <c r="M139" s="1" t="s">
        <v>6536</v>
      </c>
      <c r="N139" s="1" t="s">
        <v>8173</v>
      </c>
    </row>
    <row r="140" spans="1:14">
      <c r="A140" s="1" t="s">
        <v>707</v>
      </c>
      <c r="B140" s="1" t="s">
        <v>708</v>
      </c>
      <c r="C140" s="1" t="s">
        <v>709</v>
      </c>
      <c r="D140" s="1" t="s">
        <v>663</v>
      </c>
      <c r="E140" s="1" t="s">
        <v>8535</v>
      </c>
      <c r="F140" s="1" t="s">
        <v>8536</v>
      </c>
      <c r="G140" t="s">
        <v>8537</v>
      </c>
      <c r="H140">
        <v>24204051</v>
      </c>
      <c r="I140" s="1" t="s">
        <v>8538</v>
      </c>
      <c r="J140" s="44" t="s">
        <v>8539</v>
      </c>
      <c r="K140" s="44" t="s">
        <v>5776</v>
      </c>
      <c r="L140" s="1" t="s">
        <v>5619</v>
      </c>
      <c r="M140" s="1" t="s">
        <v>5622</v>
      </c>
      <c r="N140" s="1" t="s">
        <v>8152</v>
      </c>
    </row>
    <row r="141" spans="1:14">
      <c r="A141" s="1" t="s">
        <v>686</v>
      </c>
      <c r="B141" s="1" t="s">
        <v>687</v>
      </c>
      <c r="C141" s="1" t="s">
        <v>688</v>
      </c>
      <c r="D141" s="1" t="s">
        <v>669</v>
      </c>
      <c r="E141" s="1" t="s">
        <v>8540</v>
      </c>
      <c r="F141" s="1" t="s">
        <v>6164</v>
      </c>
      <c r="G141" t="s">
        <v>8541</v>
      </c>
      <c r="H141">
        <v>24086475</v>
      </c>
      <c r="I141" s="1" t="s">
        <v>690</v>
      </c>
      <c r="J141" s="44" t="s">
        <v>54</v>
      </c>
      <c r="K141" s="44" t="s">
        <v>5001</v>
      </c>
      <c r="L141" s="1" t="s">
        <v>5906</v>
      </c>
      <c r="M141" s="1" t="s">
        <v>6945</v>
      </c>
      <c r="N141" s="1" t="s">
        <v>8162</v>
      </c>
    </row>
    <row r="142" spans="1:14">
      <c r="A142" s="1" t="s">
        <v>5089</v>
      </c>
      <c r="B142" s="1" t="s">
        <v>5090</v>
      </c>
      <c r="C142" s="1" t="s">
        <v>5091</v>
      </c>
      <c r="D142" s="1" t="s">
        <v>673</v>
      </c>
      <c r="E142" s="1" t="s">
        <v>8542</v>
      </c>
      <c r="F142" s="1" t="s">
        <v>8543</v>
      </c>
      <c r="G142" t="s">
        <v>8544</v>
      </c>
      <c r="H142">
        <v>23734070</v>
      </c>
      <c r="I142" s="1" t="s">
        <v>5092</v>
      </c>
      <c r="J142" s="44" t="s">
        <v>5093</v>
      </c>
      <c r="K142" s="44" t="s">
        <v>7290</v>
      </c>
      <c r="L142" s="1" t="s">
        <v>7165</v>
      </c>
      <c r="M142" s="1" t="s">
        <v>7553</v>
      </c>
      <c r="N142" s="1" t="s">
        <v>8140</v>
      </c>
    </row>
    <row r="143" spans="1:14">
      <c r="A143" s="1" t="s">
        <v>594</v>
      </c>
      <c r="B143" s="1" t="s">
        <v>595</v>
      </c>
      <c r="C143" s="1" t="s">
        <v>596</v>
      </c>
      <c r="D143" s="1" t="s">
        <v>677</v>
      </c>
      <c r="E143" s="1" t="s">
        <v>8545</v>
      </c>
      <c r="F143" s="1" t="s">
        <v>8546</v>
      </c>
      <c r="G143" t="s">
        <v>8547</v>
      </c>
      <c r="H143">
        <v>23700110</v>
      </c>
      <c r="I143" s="1" t="s">
        <v>361</v>
      </c>
      <c r="J143" s="44" t="s">
        <v>598</v>
      </c>
      <c r="K143" s="44" t="s">
        <v>5767</v>
      </c>
      <c r="L143" s="1" t="s">
        <v>6975</v>
      </c>
      <c r="M143" s="1" t="s">
        <v>7698</v>
      </c>
      <c r="N143" s="1" t="s">
        <v>8186</v>
      </c>
    </row>
    <row r="144" spans="1:14">
      <c r="A144" s="1" t="s">
        <v>583</v>
      </c>
      <c r="B144" s="1" t="s">
        <v>584</v>
      </c>
      <c r="C144" s="1" t="s">
        <v>584</v>
      </c>
      <c r="D144" s="1" t="s">
        <v>683</v>
      </c>
      <c r="E144" s="1" t="s">
        <v>8548</v>
      </c>
      <c r="F144" s="1" t="s">
        <v>7794</v>
      </c>
      <c r="G144" t="s">
        <v>8549</v>
      </c>
      <c r="H144">
        <v>23320857</v>
      </c>
      <c r="I144" s="1" t="s">
        <v>8550</v>
      </c>
      <c r="J144" s="44" t="s">
        <v>8551</v>
      </c>
      <c r="K144" s="44" t="s">
        <v>5824</v>
      </c>
      <c r="L144" s="1" t="s">
        <v>5880</v>
      </c>
      <c r="M144" s="1" t="s">
        <v>5750</v>
      </c>
      <c r="N144" s="1" t="s">
        <v>8137</v>
      </c>
    </row>
    <row r="145" spans="1:14">
      <c r="A145" s="1" t="s">
        <v>763</v>
      </c>
      <c r="B145" s="1" t="s">
        <v>764</v>
      </c>
      <c r="C145" s="1" t="s">
        <v>765</v>
      </c>
      <c r="D145" s="1" t="s">
        <v>689</v>
      </c>
      <c r="E145" s="1" t="s">
        <v>8552</v>
      </c>
      <c r="F145" s="1" t="s">
        <v>7942</v>
      </c>
      <c r="G145" t="s">
        <v>8553</v>
      </c>
      <c r="H145">
        <v>23113361</v>
      </c>
      <c r="I145" s="1" t="s">
        <v>8554</v>
      </c>
      <c r="J145" s="44" t="s">
        <v>8554</v>
      </c>
      <c r="K145" s="44" t="s">
        <v>5402</v>
      </c>
      <c r="L145" s="1" t="s">
        <v>5868</v>
      </c>
      <c r="M145" s="1" t="s">
        <v>7390</v>
      </c>
      <c r="N145" s="1" t="s">
        <v>8085</v>
      </c>
    </row>
    <row r="146" spans="1:14">
      <c r="A146" s="1" t="s">
        <v>455</v>
      </c>
      <c r="B146" s="1" t="s">
        <v>456</v>
      </c>
      <c r="C146" s="1" t="s">
        <v>457</v>
      </c>
      <c r="D146" s="1" t="s">
        <v>694</v>
      </c>
      <c r="E146" s="1" t="s">
        <v>8555</v>
      </c>
      <c r="F146" s="1" t="s">
        <v>8556</v>
      </c>
      <c r="G146" t="s">
        <v>8557</v>
      </c>
      <c r="H146">
        <v>22820901</v>
      </c>
      <c r="I146" s="1" t="s">
        <v>5108</v>
      </c>
      <c r="J146" s="44" t="s">
        <v>5108</v>
      </c>
      <c r="K146" s="44" t="s">
        <v>6543</v>
      </c>
      <c r="L146" s="1" t="s">
        <v>6463</v>
      </c>
      <c r="M146" s="1" t="s">
        <v>6921</v>
      </c>
      <c r="N146" s="1" t="s">
        <v>8065</v>
      </c>
    </row>
    <row r="147" spans="1:14">
      <c r="A147" s="1" t="s">
        <v>604</v>
      </c>
      <c r="B147" s="1" t="s">
        <v>605</v>
      </c>
      <c r="C147" s="1" t="s">
        <v>606</v>
      </c>
      <c r="D147" s="1" t="s">
        <v>698</v>
      </c>
      <c r="E147" s="1" t="s">
        <v>8558</v>
      </c>
      <c r="F147" s="1" t="s">
        <v>8559</v>
      </c>
      <c r="G147" t="s">
        <v>8560</v>
      </c>
      <c r="H147">
        <v>22691489</v>
      </c>
      <c r="I147" s="1" t="s">
        <v>608</v>
      </c>
      <c r="J147" s="44" t="s">
        <v>608</v>
      </c>
      <c r="K147" s="44" t="s">
        <v>5990</v>
      </c>
      <c r="L147" s="1" t="s">
        <v>7444</v>
      </c>
      <c r="M147" s="1" t="s">
        <v>7571</v>
      </c>
      <c r="N147" s="1" t="s">
        <v>8186</v>
      </c>
    </row>
    <row r="148" spans="1:14">
      <c r="A148" s="1" t="s">
        <v>633</v>
      </c>
      <c r="B148" s="1" t="s">
        <v>634</v>
      </c>
      <c r="C148" s="1" t="s">
        <v>635</v>
      </c>
      <c r="D148" s="1" t="s">
        <v>704</v>
      </c>
      <c r="E148" s="1" t="s">
        <v>8561</v>
      </c>
      <c r="F148" s="1" t="s">
        <v>7328</v>
      </c>
      <c r="G148" t="s">
        <v>8562</v>
      </c>
      <c r="H148">
        <v>21859788</v>
      </c>
      <c r="I148" s="1" t="s">
        <v>8563</v>
      </c>
      <c r="J148" s="44" t="s">
        <v>8563</v>
      </c>
      <c r="K148" s="44" t="s">
        <v>5049</v>
      </c>
      <c r="L148" s="1" t="s">
        <v>7623</v>
      </c>
      <c r="M148" s="1" t="s">
        <v>5650</v>
      </c>
      <c r="N148" s="1" t="s">
        <v>8070</v>
      </c>
    </row>
    <row r="149" spans="1:14">
      <c r="A149" s="1" t="s">
        <v>680</v>
      </c>
      <c r="B149" s="1" t="s">
        <v>681</v>
      </c>
      <c r="C149" s="1" t="s">
        <v>682</v>
      </c>
      <c r="D149" s="1" t="s">
        <v>710</v>
      </c>
      <c r="E149" s="1" t="s">
        <v>8564</v>
      </c>
      <c r="F149" s="1" t="s">
        <v>7021</v>
      </c>
      <c r="G149" t="s">
        <v>8565</v>
      </c>
      <c r="H149">
        <v>21345996</v>
      </c>
      <c r="I149" s="1" t="s">
        <v>684</v>
      </c>
      <c r="J149" s="44" t="s">
        <v>685</v>
      </c>
      <c r="K149" s="44" t="s">
        <v>5952</v>
      </c>
      <c r="L149" s="1" t="s">
        <v>7154</v>
      </c>
      <c r="M149" s="1" t="s">
        <v>8566</v>
      </c>
      <c r="N149" s="1" t="s">
        <v>8213</v>
      </c>
    </row>
    <row r="150" spans="1:14">
      <c r="A150" s="1" t="s">
        <v>641</v>
      </c>
      <c r="B150" s="1" t="s">
        <v>642</v>
      </c>
      <c r="C150" s="1" t="s">
        <v>643</v>
      </c>
      <c r="D150" s="1" t="s">
        <v>714</v>
      </c>
      <c r="E150" s="1" t="s">
        <v>8567</v>
      </c>
      <c r="F150" s="1" t="s">
        <v>6169</v>
      </c>
      <c r="G150" t="s">
        <v>8568</v>
      </c>
      <c r="H150">
        <v>21256094</v>
      </c>
      <c r="I150" s="1" t="s">
        <v>645</v>
      </c>
      <c r="J150" s="44" t="s">
        <v>645</v>
      </c>
      <c r="K150" s="44" t="s">
        <v>5067</v>
      </c>
      <c r="L150" s="1" t="s">
        <v>6194</v>
      </c>
      <c r="M150" s="1" t="s">
        <v>7964</v>
      </c>
      <c r="N150" s="1" t="s">
        <v>8190</v>
      </c>
    </row>
    <row r="151" spans="1:14">
      <c r="A151" s="1" t="s">
        <v>646</v>
      </c>
      <c r="B151" s="1" t="s">
        <v>647</v>
      </c>
      <c r="C151" s="1" t="s">
        <v>648</v>
      </c>
      <c r="D151" s="1" t="s">
        <v>718</v>
      </c>
      <c r="E151" s="1" t="s">
        <v>8569</v>
      </c>
      <c r="F151" s="1" t="s">
        <v>7797</v>
      </c>
      <c r="G151" t="s">
        <v>8570</v>
      </c>
      <c r="H151">
        <v>21014376</v>
      </c>
      <c r="I151" s="1" t="s">
        <v>6170</v>
      </c>
      <c r="J151" s="44" t="s">
        <v>6170</v>
      </c>
      <c r="K151" s="44" t="s">
        <v>5386</v>
      </c>
      <c r="L151" s="1" t="s">
        <v>5894</v>
      </c>
      <c r="M151" s="1" t="s">
        <v>7466</v>
      </c>
      <c r="N151" s="1" t="s">
        <v>8090</v>
      </c>
    </row>
    <row r="152" spans="1:14">
      <c r="A152" s="1" t="s">
        <v>736</v>
      </c>
      <c r="B152" s="1" t="s">
        <v>737</v>
      </c>
      <c r="C152" s="1" t="s">
        <v>738</v>
      </c>
      <c r="D152" s="1" t="s">
        <v>722</v>
      </c>
      <c r="E152" s="1" t="s">
        <v>8571</v>
      </c>
      <c r="F152" s="1" t="s">
        <v>8572</v>
      </c>
      <c r="G152" t="s">
        <v>8573</v>
      </c>
      <c r="H152">
        <v>20634498</v>
      </c>
      <c r="I152" s="1" t="s">
        <v>6782</v>
      </c>
      <c r="J152" s="44" t="s">
        <v>6782</v>
      </c>
      <c r="K152" s="44" t="s">
        <v>5768</v>
      </c>
      <c r="L152" s="1" t="s">
        <v>7740</v>
      </c>
      <c r="M152" s="1" t="s">
        <v>5815</v>
      </c>
      <c r="N152" s="1" t="s">
        <v>8070</v>
      </c>
    </row>
    <row r="153" spans="1:14">
      <c r="A153" s="1" t="s">
        <v>533</v>
      </c>
      <c r="B153" s="1" t="s">
        <v>534</v>
      </c>
      <c r="C153" s="1" t="s">
        <v>535</v>
      </c>
      <c r="D153" s="1" t="s">
        <v>726</v>
      </c>
      <c r="E153" s="1" t="s">
        <v>8574</v>
      </c>
      <c r="F153" s="1" t="s">
        <v>7023</v>
      </c>
      <c r="G153" t="s">
        <v>8575</v>
      </c>
      <c r="H153">
        <v>20213462</v>
      </c>
      <c r="I153" s="1" t="s">
        <v>537</v>
      </c>
      <c r="J153" s="44" t="s">
        <v>538</v>
      </c>
      <c r="K153" s="44" t="s">
        <v>5083</v>
      </c>
      <c r="L153" s="1" t="s">
        <v>6122</v>
      </c>
      <c r="M153" s="1" t="s">
        <v>7769</v>
      </c>
      <c r="N153" s="1" t="s">
        <v>8171</v>
      </c>
    </row>
    <row r="154" spans="1:14">
      <c r="A154" s="1" t="s">
        <v>568</v>
      </c>
      <c r="B154" s="1" t="s">
        <v>569</v>
      </c>
      <c r="C154" s="1" t="s">
        <v>570</v>
      </c>
      <c r="D154" s="1" t="s">
        <v>731</v>
      </c>
      <c r="E154" s="1" t="s">
        <v>8576</v>
      </c>
      <c r="F154" s="1" t="s">
        <v>7587</v>
      </c>
      <c r="G154" t="s">
        <v>8577</v>
      </c>
      <c r="H154">
        <v>19260720</v>
      </c>
      <c r="I154" s="1" t="s">
        <v>282</v>
      </c>
      <c r="J154" s="44" t="s">
        <v>138</v>
      </c>
      <c r="K154" s="44" t="s">
        <v>5111</v>
      </c>
      <c r="L154" s="1" t="s">
        <v>5869</v>
      </c>
      <c r="M154" s="1" t="s">
        <v>7414</v>
      </c>
      <c r="N154" s="1" t="s">
        <v>8121</v>
      </c>
    </row>
    <row r="155" spans="1:14">
      <c r="A155" s="1" t="s">
        <v>670</v>
      </c>
      <c r="B155" s="1" t="s">
        <v>671</v>
      </c>
      <c r="C155" s="1" t="s">
        <v>672</v>
      </c>
      <c r="D155" s="1" t="s">
        <v>735</v>
      </c>
      <c r="E155" s="1" t="s">
        <v>8578</v>
      </c>
      <c r="F155" s="1" t="s">
        <v>8579</v>
      </c>
      <c r="G155" t="s">
        <v>8580</v>
      </c>
      <c r="H155">
        <v>19233648</v>
      </c>
      <c r="I155" s="1" t="s">
        <v>5673</v>
      </c>
      <c r="J155" s="44" t="s">
        <v>54</v>
      </c>
      <c r="K155" s="44" t="s">
        <v>5544</v>
      </c>
      <c r="L155" s="1" t="s">
        <v>6939</v>
      </c>
      <c r="M155" s="1" t="s">
        <v>5973</v>
      </c>
      <c r="N155" s="1" t="s">
        <v>8396</v>
      </c>
    </row>
    <row r="156" spans="1:14">
      <c r="A156" s="1" t="s">
        <v>1057</v>
      </c>
      <c r="B156" s="1" t="s">
        <v>1058</v>
      </c>
      <c r="C156" s="1" t="s">
        <v>1059</v>
      </c>
      <c r="D156" s="1" t="s">
        <v>739</v>
      </c>
      <c r="E156" s="1" t="s">
        <v>8581</v>
      </c>
      <c r="F156" s="1" t="s">
        <v>8582</v>
      </c>
      <c r="G156" t="s">
        <v>8583</v>
      </c>
      <c r="H156">
        <v>19179130</v>
      </c>
      <c r="I156" s="1" t="s">
        <v>8584</v>
      </c>
      <c r="J156" s="44" t="s">
        <v>8584</v>
      </c>
      <c r="K156" s="44" t="s">
        <v>7067</v>
      </c>
      <c r="L156" s="1" t="s">
        <v>8585</v>
      </c>
      <c r="M156" s="1" t="s">
        <v>8586</v>
      </c>
      <c r="N156" s="1" t="s">
        <v>8085</v>
      </c>
    </row>
    <row r="157" spans="1:14">
      <c r="A157" s="1" t="s">
        <v>740</v>
      </c>
      <c r="B157" s="1" t="s">
        <v>741</v>
      </c>
      <c r="C157" s="1" t="s">
        <v>742</v>
      </c>
      <c r="D157" s="1" t="s">
        <v>743</v>
      </c>
      <c r="E157" s="1" t="s">
        <v>8587</v>
      </c>
      <c r="F157" s="1" t="s">
        <v>8588</v>
      </c>
      <c r="G157" t="s">
        <v>8589</v>
      </c>
      <c r="H157">
        <v>18941689</v>
      </c>
      <c r="I157" s="1" t="s">
        <v>744</v>
      </c>
      <c r="J157" s="44" t="s">
        <v>744</v>
      </c>
      <c r="K157" s="44" t="s">
        <v>5067</v>
      </c>
      <c r="L157" s="1" t="s">
        <v>7459</v>
      </c>
      <c r="M157" s="1" t="s">
        <v>5834</v>
      </c>
      <c r="N157" s="1" t="s">
        <v>8133</v>
      </c>
    </row>
    <row r="158" spans="1:14">
      <c r="A158" s="1" t="s">
        <v>695</v>
      </c>
      <c r="B158" s="1" t="s">
        <v>696</v>
      </c>
      <c r="C158" s="1" t="s">
        <v>697</v>
      </c>
      <c r="D158" s="1" t="s">
        <v>748</v>
      </c>
      <c r="E158" s="1" t="s">
        <v>8590</v>
      </c>
      <c r="F158" s="1" t="s">
        <v>7943</v>
      </c>
      <c r="G158" t="s">
        <v>8591</v>
      </c>
      <c r="H158">
        <v>18918339</v>
      </c>
      <c r="I158" s="1" t="s">
        <v>699</v>
      </c>
      <c r="J158" s="44" t="s">
        <v>700</v>
      </c>
      <c r="K158" s="44" t="s">
        <v>5212</v>
      </c>
      <c r="L158" s="1" t="s">
        <v>5128</v>
      </c>
      <c r="M158" s="1" t="s">
        <v>7611</v>
      </c>
      <c r="N158" s="1" t="s">
        <v>8186</v>
      </c>
    </row>
    <row r="159" spans="1:14">
      <c r="A159" s="1" t="s">
        <v>517</v>
      </c>
      <c r="B159" s="1" t="s">
        <v>518</v>
      </c>
      <c r="C159" s="1" t="s">
        <v>519</v>
      </c>
      <c r="D159" s="1" t="s">
        <v>753</v>
      </c>
      <c r="E159" s="1" t="s">
        <v>8592</v>
      </c>
      <c r="F159" s="1" t="s">
        <v>8593</v>
      </c>
      <c r="G159" t="s">
        <v>8594</v>
      </c>
      <c r="H159">
        <v>18421900</v>
      </c>
      <c r="I159" s="1" t="s">
        <v>521</v>
      </c>
      <c r="J159" s="44" t="s">
        <v>259</v>
      </c>
      <c r="K159" s="44" t="s">
        <v>5138</v>
      </c>
      <c r="L159" s="1" t="s">
        <v>5818</v>
      </c>
      <c r="M159" s="1" t="s">
        <v>7935</v>
      </c>
      <c r="N159" s="1" t="s">
        <v>8171</v>
      </c>
    </row>
    <row r="160" spans="1:14">
      <c r="A160" s="1" t="s">
        <v>437</v>
      </c>
      <c r="B160" s="1" t="s">
        <v>438</v>
      </c>
      <c r="C160" s="1" t="s">
        <v>439</v>
      </c>
      <c r="D160" s="1" t="s">
        <v>758</v>
      </c>
      <c r="E160" s="1" t="s">
        <v>8595</v>
      </c>
      <c r="F160" s="1" t="s">
        <v>8596</v>
      </c>
      <c r="G160" t="s">
        <v>8597</v>
      </c>
      <c r="H160">
        <v>18360931</v>
      </c>
      <c r="I160" s="1" t="s">
        <v>8598</v>
      </c>
      <c r="J160" s="44" t="s">
        <v>8599</v>
      </c>
      <c r="K160" s="44" t="s">
        <v>7064</v>
      </c>
      <c r="L160" s="1" t="s">
        <v>7089</v>
      </c>
      <c r="M160" s="1" t="s">
        <v>8600</v>
      </c>
      <c r="N160" s="1" t="s">
        <v>8263</v>
      </c>
    </row>
    <row r="161" spans="1:14">
      <c r="A161" s="1" t="s">
        <v>590</v>
      </c>
      <c r="B161" s="1" t="s">
        <v>591</v>
      </c>
      <c r="C161" s="1" t="s">
        <v>592</v>
      </c>
      <c r="D161" s="1" t="s">
        <v>762</v>
      </c>
      <c r="E161" s="1" t="s">
        <v>8601</v>
      </c>
      <c r="F161" s="1" t="s">
        <v>8602</v>
      </c>
      <c r="G161" t="s">
        <v>8603</v>
      </c>
      <c r="H161">
        <v>18175568</v>
      </c>
      <c r="I161" s="1" t="s">
        <v>5623</v>
      </c>
      <c r="J161" s="44" t="s">
        <v>5624</v>
      </c>
      <c r="K161" s="44" t="s">
        <v>6193</v>
      </c>
      <c r="L161" s="1" t="s">
        <v>5122</v>
      </c>
      <c r="M161" s="1" t="s">
        <v>7506</v>
      </c>
      <c r="N161" s="1" t="s">
        <v>8102</v>
      </c>
    </row>
    <row r="162" spans="1:14">
      <c r="A162" s="1" t="s">
        <v>715</v>
      </c>
      <c r="B162" s="1" t="s">
        <v>716</v>
      </c>
      <c r="C162" s="1" t="s">
        <v>717</v>
      </c>
      <c r="D162" s="1" t="s">
        <v>766</v>
      </c>
      <c r="E162" s="1" t="s">
        <v>8604</v>
      </c>
      <c r="F162" s="1" t="s">
        <v>6783</v>
      </c>
      <c r="G162" t="s">
        <v>8605</v>
      </c>
      <c r="H162">
        <v>18145528</v>
      </c>
      <c r="I162" s="1" t="s">
        <v>8606</v>
      </c>
      <c r="J162" s="44" t="s">
        <v>8606</v>
      </c>
      <c r="K162" s="44" t="s">
        <v>5102</v>
      </c>
      <c r="L162" s="1" t="s">
        <v>6436</v>
      </c>
      <c r="M162" s="1" t="s">
        <v>7838</v>
      </c>
      <c r="N162" s="1" t="s">
        <v>8152</v>
      </c>
    </row>
    <row r="163" spans="1:14">
      <c r="A163" s="1" t="s">
        <v>5220</v>
      </c>
      <c r="B163" s="1" t="s">
        <v>5221</v>
      </c>
      <c r="C163" s="1" t="s">
        <v>5222</v>
      </c>
      <c r="D163" s="1" t="s">
        <v>770</v>
      </c>
      <c r="E163" s="1" t="s">
        <v>8607</v>
      </c>
      <c r="F163" s="1" t="s">
        <v>8608</v>
      </c>
      <c r="G163" t="s">
        <v>8609</v>
      </c>
      <c r="H163">
        <v>18125742</v>
      </c>
      <c r="I163" s="1" t="s">
        <v>6171</v>
      </c>
      <c r="J163" s="44" t="s">
        <v>259</v>
      </c>
      <c r="K163" s="44" t="s">
        <v>8610</v>
      </c>
      <c r="L163" s="1" t="s">
        <v>7757</v>
      </c>
      <c r="M163" s="1" t="s">
        <v>6922</v>
      </c>
      <c r="N163" s="1" t="s">
        <v>8213</v>
      </c>
    </row>
    <row r="164" spans="1:14">
      <c r="A164" s="1" t="s">
        <v>609</v>
      </c>
      <c r="B164" s="1" t="s">
        <v>610</v>
      </c>
      <c r="C164" s="1" t="s">
        <v>611</v>
      </c>
      <c r="D164" s="1" t="s">
        <v>775</v>
      </c>
      <c r="E164" s="1" t="s">
        <v>8611</v>
      </c>
      <c r="F164" s="1" t="s">
        <v>8612</v>
      </c>
      <c r="G164" t="s">
        <v>8613</v>
      </c>
      <c r="H164">
        <v>17715069</v>
      </c>
      <c r="I164" s="1" t="s">
        <v>613</v>
      </c>
      <c r="J164" s="44" t="s">
        <v>613</v>
      </c>
      <c r="K164" s="44" t="s">
        <v>5537</v>
      </c>
      <c r="L164" s="1" t="s">
        <v>5495</v>
      </c>
      <c r="M164" s="1" t="s">
        <v>7554</v>
      </c>
      <c r="N164" s="1" t="s">
        <v>8074</v>
      </c>
    </row>
    <row r="165" spans="1:14">
      <c r="A165" s="1" t="s">
        <v>5059</v>
      </c>
      <c r="B165" s="1" t="s">
        <v>5007</v>
      </c>
      <c r="C165" s="1" t="s">
        <v>422</v>
      </c>
      <c r="D165" s="1" t="s">
        <v>779</v>
      </c>
      <c r="E165" s="1" t="s">
        <v>8614</v>
      </c>
      <c r="F165" s="1" t="s">
        <v>8615</v>
      </c>
      <c r="G165" t="s">
        <v>8616</v>
      </c>
      <c r="H165">
        <v>17699353</v>
      </c>
      <c r="I165" s="1" t="s">
        <v>424</v>
      </c>
      <c r="J165" s="44" t="s">
        <v>425</v>
      </c>
      <c r="K165" s="44" t="s">
        <v>7735</v>
      </c>
      <c r="L165" s="1" t="s">
        <v>7018</v>
      </c>
      <c r="M165" s="1" t="s">
        <v>7278</v>
      </c>
      <c r="N165" s="1" t="s">
        <v>8140</v>
      </c>
    </row>
    <row r="166" spans="1:14">
      <c r="A166" s="1" t="s">
        <v>3952</v>
      </c>
      <c r="B166" s="1" t="s">
        <v>3953</v>
      </c>
      <c r="C166" s="1" t="s">
        <v>3954</v>
      </c>
      <c r="D166" s="1" t="s">
        <v>783</v>
      </c>
      <c r="E166" s="1" t="s">
        <v>8617</v>
      </c>
      <c r="F166" s="1" t="s">
        <v>7108</v>
      </c>
      <c r="G166" t="s">
        <v>8618</v>
      </c>
      <c r="H166">
        <v>17548380</v>
      </c>
      <c r="I166" s="1" t="s">
        <v>3651</v>
      </c>
      <c r="J166" s="44" t="s">
        <v>230</v>
      </c>
      <c r="K166" s="44" t="s">
        <v>5667</v>
      </c>
      <c r="L166" s="1" t="s">
        <v>6092</v>
      </c>
      <c r="M166" s="1" t="s">
        <v>7771</v>
      </c>
      <c r="N166" s="1" t="s">
        <v>8140</v>
      </c>
    </row>
    <row r="167" spans="1:14">
      <c r="A167" s="1" t="s">
        <v>723</v>
      </c>
      <c r="B167" s="1" t="s">
        <v>724</v>
      </c>
      <c r="C167" s="1" t="s">
        <v>725</v>
      </c>
      <c r="D167" s="1" t="s">
        <v>788</v>
      </c>
      <c r="E167" s="1" t="s">
        <v>8619</v>
      </c>
      <c r="F167" s="1" t="s">
        <v>8620</v>
      </c>
      <c r="G167" t="s">
        <v>8621</v>
      </c>
      <c r="H167">
        <v>17085083</v>
      </c>
      <c r="I167" s="1" t="s">
        <v>5228</v>
      </c>
      <c r="J167" s="44" t="s">
        <v>727</v>
      </c>
      <c r="K167" s="44" t="s">
        <v>5066</v>
      </c>
      <c r="L167" s="1" t="s">
        <v>5212</v>
      </c>
      <c r="M167" s="1" t="s">
        <v>7144</v>
      </c>
      <c r="N167" s="1" t="s">
        <v>8080</v>
      </c>
    </row>
    <row r="168" spans="1:14">
      <c r="A168" s="1" t="s">
        <v>6178</v>
      </c>
      <c r="B168" s="1" t="s">
        <v>6179</v>
      </c>
      <c r="C168" s="1" t="s">
        <v>6180</v>
      </c>
      <c r="D168" s="1" t="s">
        <v>792</v>
      </c>
      <c r="E168" s="1" t="s">
        <v>8622</v>
      </c>
      <c r="F168" s="1" t="s">
        <v>7588</v>
      </c>
      <c r="G168" t="s">
        <v>8623</v>
      </c>
      <c r="H168">
        <v>16919834</v>
      </c>
      <c r="I168" s="1" t="s">
        <v>6181</v>
      </c>
      <c r="J168" s="44" t="s">
        <v>6182</v>
      </c>
      <c r="K168" s="44" t="s">
        <v>8624</v>
      </c>
      <c r="L168" s="1"/>
      <c r="M168" s="1"/>
      <c r="N168" s="1" t="s">
        <v>8140</v>
      </c>
    </row>
    <row r="169" spans="1:14">
      <c r="A169" s="1" t="s">
        <v>1185</v>
      </c>
      <c r="B169" s="1" t="s">
        <v>1186</v>
      </c>
      <c r="C169" s="1" t="s">
        <v>1187</v>
      </c>
      <c r="D169" s="1" t="s">
        <v>796</v>
      </c>
      <c r="E169" s="1" t="s">
        <v>8625</v>
      </c>
      <c r="F169" s="1" t="s">
        <v>6690</v>
      </c>
      <c r="G169" t="s">
        <v>8626</v>
      </c>
      <c r="H169">
        <v>16859032</v>
      </c>
      <c r="I169" s="1" t="s">
        <v>8627</v>
      </c>
      <c r="J169" s="44" t="s">
        <v>8628</v>
      </c>
      <c r="K169" s="44" t="s">
        <v>5067</v>
      </c>
      <c r="L169" s="1" t="s">
        <v>7347</v>
      </c>
      <c r="M169" s="1" t="s">
        <v>7436</v>
      </c>
      <c r="N169" s="1" t="s">
        <v>8213</v>
      </c>
    </row>
    <row r="170" spans="1:14">
      <c r="A170" s="1" t="s">
        <v>785</v>
      </c>
      <c r="B170" s="1" t="s">
        <v>786</v>
      </c>
      <c r="C170" s="1" t="s">
        <v>787</v>
      </c>
      <c r="D170" s="1" t="s">
        <v>800</v>
      </c>
      <c r="E170" s="1" t="s">
        <v>8629</v>
      </c>
      <c r="F170" s="1" t="s">
        <v>6656</v>
      </c>
      <c r="G170" t="s">
        <v>8630</v>
      </c>
      <c r="H170">
        <v>16300776</v>
      </c>
      <c r="I170" s="1" t="s">
        <v>8631</v>
      </c>
      <c r="J170" s="44" t="s">
        <v>8631</v>
      </c>
      <c r="K170" s="44" t="s">
        <v>5067</v>
      </c>
      <c r="L170" s="1" t="s">
        <v>5063</v>
      </c>
      <c r="M170" s="1" t="s">
        <v>7105</v>
      </c>
      <c r="N170" s="1" t="s">
        <v>8085</v>
      </c>
    </row>
    <row r="171" spans="1:14">
      <c r="A171" s="1" t="s">
        <v>543</v>
      </c>
      <c r="B171" s="1" t="s">
        <v>544</v>
      </c>
      <c r="C171" s="1" t="s">
        <v>545</v>
      </c>
      <c r="D171" s="1" t="s">
        <v>805</v>
      </c>
      <c r="E171" s="1" t="s">
        <v>8632</v>
      </c>
      <c r="F171" s="1" t="s">
        <v>8633</v>
      </c>
      <c r="G171" t="s">
        <v>8634</v>
      </c>
      <c r="H171">
        <v>16255829</v>
      </c>
      <c r="I171" s="1" t="s">
        <v>547</v>
      </c>
      <c r="J171" s="44" t="s">
        <v>547</v>
      </c>
      <c r="K171" s="44" t="s">
        <v>5062</v>
      </c>
      <c r="L171" s="1" t="s">
        <v>7033</v>
      </c>
      <c r="M171" s="1" t="s">
        <v>7235</v>
      </c>
      <c r="N171" s="1" t="s">
        <v>8133</v>
      </c>
    </row>
    <row r="172" spans="1:14">
      <c r="A172" s="1" t="s">
        <v>5674</v>
      </c>
      <c r="B172" s="1" t="s">
        <v>875</v>
      </c>
      <c r="C172" s="1" t="s">
        <v>875</v>
      </c>
      <c r="D172" s="1" t="s">
        <v>811</v>
      </c>
      <c r="E172" s="1" t="s">
        <v>8635</v>
      </c>
      <c r="F172" s="1" t="s">
        <v>8636</v>
      </c>
      <c r="G172" t="s">
        <v>8637</v>
      </c>
      <c r="H172">
        <v>16033805</v>
      </c>
      <c r="I172" s="1" t="s">
        <v>877</v>
      </c>
      <c r="J172" s="44" t="s">
        <v>54</v>
      </c>
      <c r="K172" s="44" t="s">
        <v>7352</v>
      </c>
      <c r="L172" s="1" t="s">
        <v>7617</v>
      </c>
      <c r="M172" s="1" t="s">
        <v>8638</v>
      </c>
      <c r="N172" s="1" t="s">
        <v>8080</v>
      </c>
    </row>
    <row r="173" spans="1:14">
      <c r="A173" s="1" t="s">
        <v>5268</v>
      </c>
      <c r="B173" s="1" t="s">
        <v>5269</v>
      </c>
      <c r="C173" s="1" t="s">
        <v>5270</v>
      </c>
      <c r="D173" s="1" t="s">
        <v>816</v>
      </c>
      <c r="E173" s="1" t="s">
        <v>8639</v>
      </c>
      <c r="F173" s="1" t="s">
        <v>7944</v>
      </c>
      <c r="G173" t="s">
        <v>8640</v>
      </c>
      <c r="H173">
        <v>15767353</v>
      </c>
      <c r="I173" s="1" t="s">
        <v>5271</v>
      </c>
      <c r="J173" s="44" t="s">
        <v>8641</v>
      </c>
      <c r="K173" s="44" t="s">
        <v>5814</v>
      </c>
      <c r="L173" s="1" t="s">
        <v>5893</v>
      </c>
      <c r="M173" s="1"/>
      <c r="N173" s="1" t="s">
        <v>8140</v>
      </c>
    </row>
    <row r="174" spans="1:14">
      <c r="A174" s="1" t="s">
        <v>5008</v>
      </c>
      <c r="B174" s="1" t="s">
        <v>5009</v>
      </c>
      <c r="C174" s="1" t="s">
        <v>5010</v>
      </c>
      <c r="D174" s="1" t="s">
        <v>819</v>
      </c>
      <c r="E174" s="1" t="s">
        <v>8642</v>
      </c>
      <c r="F174" s="1" t="s">
        <v>7912</v>
      </c>
      <c r="G174" t="s">
        <v>8643</v>
      </c>
      <c r="H174">
        <v>15499000</v>
      </c>
      <c r="I174" s="1" t="s">
        <v>138</v>
      </c>
      <c r="J174" s="44" t="s">
        <v>1103</v>
      </c>
      <c r="K174" s="44" t="s">
        <v>7038</v>
      </c>
      <c r="L174" s="1"/>
      <c r="M174" s="1" t="s">
        <v>6980</v>
      </c>
      <c r="N174" s="1" t="s">
        <v>8213</v>
      </c>
    </row>
    <row r="175" spans="1:14">
      <c r="A175" s="1" t="s">
        <v>674</v>
      </c>
      <c r="B175" s="1" t="s">
        <v>675</v>
      </c>
      <c r="C175" s="1" t="s">
        <v>676</v>
      </c>
      <c r="D175" s="1" t="s">
        <v>822</v>
      </c>
      <c r="E175" s="1" t="s">
        <v>8644</v>
      </c>
      <c r="F175" s="1" t="s">
        <v>8645</v>
      </c>
      <c r="G175" t="s">
        <v>8646</v>
      </c>
      <c r="H175">
        <v>15399989</v>
      </c>
      <c r="I175" s="1" t="s">
        <v>678</v>
      </c>
      <c r="J175" s="44" t="s">
        <v>679</v>
      </c>
      <c r="K175" s="44" t="s">
        <v>5522</v>
      </c>
      <c r="L175" s="1" t="s">
        <v>5554</v>
      </c>
      <c r="M175" s="1" t="s">
        <v>7816</v>
      </c>
      <c r="N175" s="1" t="s">
        <v>8102</v>
      </c>
    </row>
    <row r="176" spans="1:14">
      <c r="A176" s="1" t="s">
        <v>5389</v>
      </c>
      <c r="B176" s="1" t="s">
        <v>5390</v>
      </c>
      <c r="C176" s="1" t="s">
        <v>5391</v>
      </c>
      <c r="D176" s="1" t="s">
        <v>826</v>
      </c>
      <c r="E176" s="1" t="s">
        <v>8647</v>
      </c>
      <c r="F176" s="1" t="s">
        <v>7032</v>
      </c>
      <c r="G176" t="s">
        <v>8648</v>
      </c>
      <c r="H176">
        <v>15200542</v>
      </c>
      <c r="I176" s="1" t="s">
        <v>5877</v>
      </c>
      <c r="J176" s="44" t="s">
        <v>5577</v>
      </c>
      <c r="K176" s="44" t="s">
        <v>7173</v>
      </c>
      <c r="L176" s="1" t="s">
        <v>8649</v>
      </c>
      <c r="M176" s="1"/>
      <c r="N176" s="1" t="s">
        <v>8140</v>
      </c>
    </row>
    <row r="177" spans="1:14">
      <c r="A177" s="1" t="s">
        <v>554</v>
      </c>
      <c r="B177" s="1" t="s">
        <v>555</v>
      </c>
      <c r="C177" s="1" t="s">
        <v>556</v>
      </c>
      <c r="D177" s="1" t="s">
        <v>831</v>
      </c>
      <c r="E177" s="1" t="s">
        <v>8650</v>
      </c>
      <c r="F177" s="1" t="s">
        <v>8651</v>
      </c>
      <c r="G177" t="s">
        <v>8652</v>
      </c>
      <c r="H177">
        <v>15182467</v>
      </c>
      <c r="I177" s="1" t="s">
        <v>558</v>
      </c>
      <c r="J177" s="44" t="s">
        <v>559</v>
      </c>
      <c r="K177" s="44" t="s">
        <v>5592</v>
      </c>
      <c r="L177" s="1" t="s">
        <v>7343</v>
      </c>
      <c r="M177" s="1" t="s">
        <v>8653</v>
      </c>
      <c r="N177" s="1" t="s">
        <v>8396</v>
      </c>
    </row>
    <row r="178" spans="1:14">
      <c r="A178" s="1" t="s">
        <v>878</v>
      </c>
      <c r="B178" s="1" t="s">
        <v>879</v>
      </c>
      <c r="C178" s="1" t="s">
        <v>880</v>
      </c>
      <c r="D178" s="1" t="s">
        <v>835</v>
      </c>
      <c r="E178" s="1" t="s">
        <v>8654</v>
      </c>
      <c r="F178" s="1" t="s">
        <v>8655</v>
      </c>
      <c r="G178" t="s">
        <v>8656</v>
      </c>
      <c r="H178">
        <v>14872088</v>
      </c>
      <c r="I178" s="1" t="s">
        <v>8657</v>
      </c>
      <c r="J178" s="44" t="s">
        <v>8658</v>
      </c>
      <c r="K178" s="44" t="s">
        <v>7300</v>
      </c>
      <c r="L178" s="1" t="s">
        <v>5265</v>
      </c>
      <c r="M178" s="1" t="s">
        <v>7465</v>
      </c>
      <c r="N178" s="1" t="s">
        <v>8396</v>
      </c>
    </row>
    <row r="179" spans="1:14">
      <c r="A179" s="1" t="s">
        <v>377</v>
      </c>
      <c r="B179" s="1" t="s">
        <v>378</v>
      </c>
      <c r="C179" s="1" t="s">
        <v>379</v>
      </c>
      <c r="D179" s="1" t="s">
        <v>839</v>
      </c>
      <c r="E179" s="1" t="s">
        <v>8659</v>
      </c>
      <c r="F179" s="1" t="s">
        <v>6995</v>
      </c>
      <c r="G179" t="s">
        <v>8660</v>
      </c>
      <c r="H179">
        <v>14835352</v>
      </c>
      <c r="I179" s="1" t="s">
        <v>8661</v>
      </c>
      <c r="J179" s="44" t="s">
        <v>8661</v>
      </c>
      <c r="K179" s="44" t="s">
        <v>5953</v>
      </c>
      <c r="L179" s="1" t="s">
        <v>6298</v>
      </c>
      <c r="M179" s="1" t="s">
        <v>8662</v>
      </c>
      <c r="N179" s="1" t="s">
        <v>8152</v>
      </c>
    </row>
    <row r="180" spans="1:14">
      <c r="A180" s="1" t="s">
        <v>619</v>
      </c>
      <c r="B180" s="1" t="s">
        <v>620</v>
      </c>
      <c r="C180" s="1" t="s">
        <v>621</v>
      </c>
      <c r="D180" s="1" t="s">
        <v>844</v>
      </c>
      <c r="E180" s="1" t="s">
        <v>8663</v>
      </c>
      <c r="F180" s="1" t="s">
        <v>8664</v>
      </c>
      <c r="G180" t="s">
        <v>8665</v>
      </c>
      <c r="H180">
        <v>14696632</v>
      </c>
      <c r="I180" s="1" t="s">
        <v>5229</v>
      </c>
      <c r="J180" s="44" t="s">
        <v>623</v>
      </c>
      <c r="K180" s="44" t="s">
        <v>8000</v>
      </c>
      <c r="L180" s="1" t="s">
        <v>6045</v>
      </c>
      <c r="M180" s="1" t="s">
        <v>7397</v>
      </c>
      <c r="N180" s="1" t="s">
        <v>8121</v>
      </c>
    </row>
    <row r="181" spans="1:14">
      <c r="A181" s="1" t="s">
        <v>728</v>
      </c>
      <c r="B181" s="1" t="s">
        <v>729</v>
      </c>
      <c r="C181" s="1" t="s">
        <v>730</v>
      </c>
      <c r="D181" s="1" t="s">
        <v>850</v>
      </c>
      <c r="E181" s="1" t="s">
        <v>8666</v>
      </c>
      <c r="F181" s="1" t="s">
        <v>8667</v>
      </c>
      <c r="G181" t="s">
        <v>8668</v>
      </c>
      <c r="H181">
        <v>14659652</v>
      </c>
      <c r="I181" s="1" t="s">
        <v>5545</v>
      </c>
      <c r="J181" s="44" t="s">
        <v>5545</v>
      </c>
      <c r="K181" s="44" t="s">
        <v>7200</v>
      </c>
      <c r="L181" s="1" t="s">
        <v>5939</v>
      </c>
      <c r="M181" s="1" t="s">
        <v>7281</v>
      </c>
      <c r="N181" s="1" t="s">
        <v>8186</v>
      </c>
    </row>
    <row r="182" spans="1:14">
      <c r="A182" s="1" t="s">
        <v>776</v>
      </c>
      <c r="B182" s="1" t="s">
        <v>777</v>
      </c>
      <c r="C182" s="1" t="s">
        <v>778</v>
      </c>
      <c r="D182" s="1" t="s">
        <v>855</v>
      </c>
      <c r="E182" s="1" t="s">
        <v>8669</v>
      </c>
      <c r="F182" s="1" t="s">
        <v>6692</v>
      </c>
      <c r="G182" t="s">
        <v>8670</v>
      </c>
      <c r="H182">
        <v>14602846</v>
      </c>
      <c r="I182" s="1" t="s">
        <v>6693</v>
      </c>
      <c r="J182" s="44" t="s">
        <v>6693</v>
      </c>
      <c r="K182" s="44" t="s">
        <v>5067</v>
      </c>
      <c r="L182" s="1" t="s">
        <v>6127</v>
      </c>
      <c r="M182" s="1" t="s">
        <v>5986</v>
      </c>
      <c r="N182" s="1" t="s">
        <v>8190</v>
      </c>
    </row>
    <row r="183" spans="1:14">
      <c r="A183" s="1" t="s">
        <v>614</v>
      </c>
      <c r="B183" s="1" t="s">
        <v>615</v>
      </c>
      <c r="C183" s="1" t="s">
        <v>616</v>
      </c>
      <c r="D183" s="1" t="s">
        <v>860</v>
      </c>
      <c r="E183" s="1" t="s">
        <v>8671</v>
      </c>
      <c r="F183" s="1" t="s">
        <v>6276</v>
      </c>
      <c r="G183" t="s">
        <v>8672</v>
      </c>
      <c r="H183">
        <v>14331227</v>
      </c>
      <c r="I183" s="1" t="s">
        <v>618</v>
      </c>
      <c r="J183" s="44" t="s">
        <v>618</v>
      </c>
      <c r="K183" s="44" t="s">
        <v>6119</v>
      </c>
      <c r="L183" s="1" t="s">
        <v>6347</v>
      </c>
      <c r="M183" s="1" t="s">
        <v>7724</v>
      </c>
      <c r="N183" s="1" t="s">
        <v>8090</v>
      </c>
    </row>
    <row r="184" spans="1:14">
      <c r="A184" s="1" t="s">
        <v>711</v>
      </c>
      <c r="B184" s="1" t="s">
        <v>712</v>
      </c>
      <c r="C184" s="1" t="s">
        <v>713</v>
      </c>
      <c r="D184" s="1" t="s">
        <v>864</v>
      </c>
      <c r="E184" s="1" t="s">
        <v>8673</v>
      </c>
      <c r="F184" s="1" t="s">
        <v>8674</v>
      </c>
      <c r="G184" t="s">
        <v>8675</v>
      </c>
      <c r="H184">
        <v>14321545</v>
      </c>
      <c r="I184" s="1" t="s">
        <v>6176</v>
      </c>
      <c r="J184" s="44" t="s">
        <v>6176</v>
      </c>
      <c r="K184" s="44" t="s">
        <v>5210</v>
      </c>
      <c r="L184" s="1" t="s">
        <v>7002</v>
      </c>
      <c r="M184" s="1" t="s">
        <v>7957</v>
      </c>
      <c r="N184" s="1" t="s">
        <v>8190</v>
      </c>
    </row>
    <row r="185" spans="1:14">
      <c r="A185" s="1" t="s">
        <v>808</v>
      </c>
      <c r="B185" s="1" t="s">
        <v>809</v>
      </c>
      <c r="C185" s="1" t="s">
        <v>810</v>
      </c>
      <c r="D185" s="1" t="s">
        <v>868</v>
      </c>
      <c r="E185" s="1" t="s">
        <v>8676</v>
      </c>
      <c r="F185" s="1" t="s">
        <v>7338</v>
      </c>
      <c r="G185" t="s">
        <v>8677</v>
      </c>
      <c r="H185">
        <v>14293875</v>
      </c>
      <c r="I185" s="1" t="s">
        <v>690</v>
      </c>
      <c r="J185" s="44" t="s">
        <v>812</v>
      </c>
      <c r="K185" s="44" t="s">
        <v>5128</v>
      </c>
      <c r="L185" s="1" t="s">
        <v>6082</v>
      </c>
      <c r="M185" s="1" t="s">
        <v>7082</v>
      </c>
      <c r="N185" s="1" t="s">
        <v>8396</v>
      </c>
    </row>
    <row r="186" spans="1:14">
      <c r="A186" s="1" t="s">
        <v>527</v>
      </c>
      <c r="B186" s="1" t="s">
        <v>528</v>
      </c>
      <c r="C186" s="1" t="s">
        <v>529</v>
      </c>
      <c r="D186" s="1" t="s">
        <v>873</v>
      </c>
      <c r="E186" s="1" t="s">
        <v>8678</v>
      </c>
      <c r="F186" s="1" t="s">
        <v>8679</v>
      </c>
      <c r="G186" t="s">
        <v>8680</v>
      </c>
      <c r="H186">
        <v>14272943</v>
      </c>
      <c r="I186" s="1" t="s">
        <v>531</v>
      </c>
      <c r="J186" s="44" t="s">
        <v>532</v>
      </c>
      <c r="K186" s="44" t="s">
        <v>5651</v>
      </c>
      <c r="L186" s="1" t="s">
        <v>6584</v>
      </c>
      <c r="M186" s="1" t="s">
        <v>8502</v>
      </c>
      <c r="N186" s="1" t="s">
        <v>8102</v>
      </c>
    </row>
    <row r="187" spans="1:14">
      <c r="A187" s="1" t="s">
        <v>780</v>
      </c>
      <c r="B187" s="1" t="s">
        <v>781</v>
      </c>
      <c r="C187" s="1" t="s">
        <v>782</v>
      </c>
      <c r="D187" s="1" t="s">
        <v>876</v>
      </c>
      <c r="E187" s="1" t="s">
        <v>8681</v>
      </c>
      <c r="F187" s="1" t="s">
        <v>3355</v>
      </c>
      <c r="G187" t="s">
        <v>8682</v>
      </c>
      <c r="H187">
        <v>14066719</v>
      </c>
      <c r="I187" s="1" t="s">
        <v>784</v>
      </c>
      <c r="J187" s="44" t="s">
        <v>784</v>
      </c>
      <c r="K187" s="44" t="s">
        <v>5050</v>
      </c>
      <c r="L187" s="1" t="s">
        <v>5018</v>
      </c>
      <c r="M187" s="1" t="s">
        <v>7412</v>
      </c>
      <c r="N187" s="1" t="s">
        <v>8152</v>
      </c>
    </row>
    <row r="188" spans="1:14">
      <c r="A188" s="1" t="s">
        <v>755</v>
      </c>
      <c r="B188" s="1" t="s">
        <v>756</v>
      </c>
      <c r="C188" s="1" t="s">
        <v>757</v>
      </c>
      <c r="D188" s="1" t="s">
        <v>881</v>
      </c>
      <c r="E188" s="1" t="s">
        <v>8683</v>
      </c>
      <c r="F188" s="1" t="s">
        <v>8684</v>
      </c>
      <c r="G188" t="s">
        <v>8685</v>
      </c>
      <c r="H188">
        <v>13944285</v>
      </c>
      <c r="I188" s="1" t="s">
        <v>8686</v>
      </c>
      <c r="J188" s="44" t="s">
        <v>8686</v>
      </c>
      <c r="K188" s="44" t="s">
        <v>5543</v>
      </c>
      <c r="L188" s="1" t="s">
        <v>7117</v>
      </c>
      <c r="M188" s="1" t="s">
        <v>6490</v>
      </c>
      <c r="N188" s="1" t="s">
        <v>8070</v>
      </c>
    </row>
    <row r="189" spans="1:14">
      <c r="A189" s="1" t="s">
        <v>660</v>
      </c>
      <c r="B189" s="1" t="s">
        <v>661</v>
      </c>
      <c r="C189" s="1" t="s">
        <v>662</v>
      </c>
      <c r="D189" s="1" t="s">
        <v>885</v>
      </c>
      <c r="E189" s="1" t="s">
        <v>8687</v>
      </c>
      <c r="F189" s="1" t="s">
        <v>8688</v>
      </c>
      <c r="G189" t="s">
        <v>8689</v>
      </c>
      <c r="H189">
        <v>13935079</v>
      </c>
      <c r="I189" s="1" t="s">
        <v>664</v>
      </c>
      <c r="J189" s="44" t="s">
        <v>665</v>
      </c>
      <c r="K189" s="44" t="s">
        <v>5631</v>
      </c>
      <c r="L189" s="1" t="s">
        <v>6100</v>
      </c>
      <c r="M189" s="1" t="s">
        <v>7596</v>
      </c>
      <c r="N189" s="1" t="s">
        <v>8137</v>
      </c>
    </row>
    <row r="190" spans="1:14">
      <c r="A190" s="1" t="s">
        <v>828</v>
      </c>
      <c r="B190" s="1" t="s">
        <v>829</v>
      </c>
      <c r="C190" s="1" t="s">
        <v>830</v>
      </c>
      <c r="D190" s="1" t="s">
        <v>891</v>
      </c>
      <c r="E190" s="1" t="s">
        <v>8690</v>
      </c>
      <c r="F190" s="1" t="s">
        <v>6720</v>
      </c>
      <c r="G190" t="s">
        <v>8691</v>
      </c>
      <c r="H190">
        <v>13916420</v>
      </c>
      <c r="I190" s="1" t="s">
        <v>8692</v>
      </c>
      <c r="J190" s="44" t="s">
        <v>8692</v>
      </c>
      <c r="K190" s="44" t="s">
        <v>5588</v>
      </c>
      <c r="L190" s="1" t="s">
        <v>5387</v>
      </c>
      <c r="M190" s="1" t="s">
        <v>5995</v>
      </c>
      <c r="N190" s="1" t="s">
        <v>8107</v>
      </c>
    </row>
    <row r="191" spans="1:14">
      <c r="A191" s="1" t="s">
        <v>759</v>
      </c>
      <c r="B191" s="1" t="s">
        <v>760</v>
      </c>
      <c r="C191" s="1" t="s">
        <v>761</v>
      </c>
      <c r="D191" s="1" t="s">
        <v>895</v>
      </c>
      <c r="E191" s="1" t="s">
        <v>8693</v>
      </c>
      <c r="F191" s="1" t="s">
        <v>8694</v>
      </c>
      <c r="G191" t="s">
        <v>8695</v>
      </c>
      <c r="H191">
        <v>13674744</v>
      </c>
      <c r="I191" s="1" t="s">
        <v>5266</v>
      </c>
      <c r="J191" s="44" t="s">
        <v>5267</v>
      </c>
      <c r="K191" s="44" t="s">
        <v>7082</v>
      </c>
      <c r="L191" s="1" t="s">
        <v>6277</v>
      </c>
      <c r="M191" s="1" t="s">
        <v>5744</v>
      </c>
      <c r="N191" s="1" t="s">
        <v>8102</v>
      </c>
    </row>
    <row r="192" spans="1:14">
      <c r="A192" s="1" t="s">
        <v>1169</v>
      </c>
      <c r="B192" s="1" t="s">
        <v>1170</v>
      </c>
      <c r="C192" s="1" t="s">
        <v>1171</v>
      </c>
      <c r="D192" s="1" t="s">
        <v>899</v>
      </c>
      <c r="E192" s="1" t="s">
        <v>8696</v>
      </c>
      <c r="F192" s="1" t="s">
        <v>7510</v>
      </c>
      <c r="G192" t="s">
        <v>8697</v>
      </c>
      <c r="H192">
        <v>13618392</v>
      </c>
      <c r="I192" s="1" t="s">
        <v>7511</v>
      </c>
      <c r="J192" s="44" t="s">
        <v>7511</v>
      </c>
      <c r="K192" s="44" t="s">
        <v>5397</v>
      </c>
      <c r="L192" s="1" t="s">
        <v>5855</v>
      </c>
      <c r="M192" s="1" t="s">
        <v>7189</v>
      </c>
      <c r="N192" s="1" t="s">
        <v>8173</v>
      </c>
    </row>
    <row r="193" spans="1:14">
      <c r="A193" s="1" t="s">
        <v>691</v>
      </c>
      <c r="B193" s="1" t="s">
        <v>692</v>
      </c>
      <c r="C193" s="1" t="s">
        <v>693</v>
      </c>
      <c r="D193" s="1" t="s">
        <v>904</v>
      </c>
      <c r="E193" s="1" t="s">
        <v>8698</v>
      </c>
      <c r="F193" s="1" t="s">
        <v>7945</v>
      </c>
      <c r="G193" t="s">
        <v>8699</v>
      </c>
      <c r="H193">
        <v>13609098</v>
      </c>
      <c r="I193" s="1" t="s">
        <v>7512</v>
      </c>
      <c r="J193" s="44" t="s">
        <v>7512</v>
      </c>
      <c r="K193" s="44" t="s">
        <v>5695</v>
      </c>
      <c r="L193" s="1" t="s">
        <v>7799</v>
      </c>
      <c r="M193" s="1" t="s">
        <v>7413</v>
      </c>
      <c r="N193" s="1" t="s">
        <v>8085</v>
      </c>
    </row>
    <row r="194" spans="1:14">
      <c r="A194" s="1" t="s">
        <v>767</v>
      </c>
      <c r="B194" s="1" t="s">
        <v>768</v>
      </c>
      <c r="C194" s="1" t="s">
        <v>769</v>
      </c>
      <c r="D194" s="1" t="s">
        <v>910</v>
      </c>
      <c r="E194" s="1" t="s">
        <v>8700</v>
      </c>
      <c r="F194" s="1" t="s">
        <v>8701</v>
      </c>
      <c r="G194" t="s">
        <v>8702</v>
      </c>
      <c r="H194">
        <v>13340020</v>
      </c>
      <c r="I194" s="1" t="s">
        <v>771</v>
      </c>
      <c r="J194" s="44" t="s">
        <v>771</v>
      </c>
      <c r="K194" s="44" t="s">
        <v>5774</v>
      </c>
      <c r="L194" s="1" t="s">
        <v>6465</v>
      </c>
      <c r="M194" s="1" t="s">
        <v>8703</v>
      </c>
      <c r="N194" s="1" t="s">
        <v>8171</v>
      </c>
    </row>
    <row r="195" spans="1:14">
      <c r="A195" s="1" t="s">
        <v>394</v>
      </c>
      <c r="B195" s="1" t="s">
        <v>395</v>
      </c>
      <c r="C195" s="1" t="s">
        <v>396</v>
      </c>
      <c r="D195" s="1" t="s">
        <v>915</v>
      </c>
      <c r="E195" s="1" t="s">
        <v>8704</v>
      </c>
      <c r="F195" s="1" t="s">
        <v>8705</v>
      </c>
      <c r="G195" t="s">
        <v>8706</v>
      </c>
      <c r="H195">
        <v>13219084</v>
      </c>
      <c r="I195" s="1" t="s">
        <v>5881</v>
      </c>
      <c r="J195" s="44" t="s">
        <v>398</v>
      </c>
      <c r="K195" s="44" t="s">
        <v>6136</v>
      </c>
      <c r="L195" s="1" t="s">
        <v>6233</v>
      </c>
      <c r="M195" s="1" t="s">
        <v>7056</v>
      </c>
      <c r="N195" s="1" t="s">
        <v>8080</v>
      </c>
    </row>
    <row r="196" spans="1:14">
      <c r="A196" s="1" t="s">
        <v>836</v>
      </c>
      <c r="B196" s="1" t="s">
        <v>837</v>
      </c>
      <c r="C196" s="1" t="s">
        <v>838</v>
      </c>
      <c r="D196" s="1" t="s">
        <v>920</v>
      </c>
      <c r="E196" s="1" t="s">
        <v>8707</v>
      </c>
      <c r="F196" s="1" t="s">
        <v>8708</v>
      </c>
      <c r="G196" t="s">
        <v>8709</v>
      </c>
      <c r="H196">
        <v>13152780</v>
      </c>
      <c r="I196" s="1" t="s">
        <v>840</v>
      </c>
      <c r="J196" s="44" t="s">
        <v>840</v>
      </c>
      <c r="K196" s="44" t="s">
        <v>6120</v>
      </c>
      <c r="L196" s="1" t="s">
        <v>6136</v>
      </c>
      <c r="M196" s="1" t="s">
        <v>7796</v>
      </c>
      <c r="N196" s="1" t="s">
        <v>8162</v>
      </c>
    </row>
    <row r="197" spans="1:14">
      <c r="A197" s="1" t="s">
        <v>847</v>
      </c>
      <c r="B197" s="1" t="s">
        <v>848</v>
      </c>
      <c r="C197" s="1" t="s">
        <v>849</v>
      </c>
      <c r="D197" s="1" t="s">
        <v>922</v>
      </c>
      <c r="E197" s="1" t="s">
        <v>8710</v>
      </c>
      <c r="F197" s="1" t="s">
        <v>7946</v>
      </c>
      <c r="G197" t="s">
        <v>8711</v>
      </c>
      <c r="H197">
        <v>13131959</v>
      </c>
      <c r="I197" s="1" t="s">
        <v>5883</v>
      </c>
      <c r="J197" s="44" t="s">
        <v>5883</v>
      </c>
      <c r="K197" s="44" t="s">
        <v>7350</v>
      </c>
      <c r="L197" s="1" t="s">
        <v>5772</v>
      </c>
      <c r="M197" s="1" t="s">
        <v>7735</v>
      </c>
      <c r="N197" s="1" t="s">
        <v>8162</v>
      </c>
    </row>
    <row r="198" spans="1:14">
      <c r="A198" s="1" t="s">
        <v>823</v>
      </c>
      <c r="B198" s="1" t="s">
        <v>824</v>
      </c>
      <c r="C198" s="1" t="s">
        <v>825</v>
      </c>
      <c r="D198" s="1" t="s">
        <v>926</v>
      </c>
      <c r="E198" s="1" t="s">
        <v>8712</v>
      </c>
      <c r="F198" s="1" t="s">
        <v>6694</v>
      </c>
      <c r="G198" t="s">
        <v>8713</v>
      </c>
      <c r="H198">
        <v>12944232</v>
      </c>
      <c r="I198" s="1" t="s">
        <v>827</v>
      </c>
      <c r="J198" s="44" t="s">
        <v>827</v>
      </c>
      <c r="K198" s="44" t="s">
        <v>5067</v>
      </c>
      <c r="L198" s="1" t="s">
        <v>6417</v>
      </c>
      <c r="M198" s="1" t="s">
        <v>5802</v>
      </c>
      <c r="N198" s="1" t="s">
        <v>8263</v>
      </c>
    </row>
    <row r="199" spans="1:14">
      <c r="A199" s="1" t="s">
        <v>1351</v>
      </c>
      <c r="B199" s="1" t="s">
        <v>1352</v>
      </c>
      <c r="C199" s="1" t="s">
        <v>1353</v>
      </c>
      <c r="D199" s="1" t="s">
        <v>930</v>
      </c>
      <c r="E199" s="1" t="s">
        <v>8714</v>
      </c>
      <c r="F199" s="1" t="s">
        <v>6695</v>
      </c>
      <c r="G199" t="s">
        <v>8715</v>
      </c>
      <c r="H199">
        <v>12680896</v>
      </c>
      <c r="I199" s="1" t="s">
        <v>8716</v>
      </c>
      <c r="J199" s="44" t="s">
        <v>8716</v>
      </c>
      <c r="K199" s="44" t="s">
        <v>5001</v>
      </c>
      <c r="L199" s="1" t="s">
        <v>5498</v>
      </c>
      <c r="M199" s="1" t="s">
        <v>8717</v>
      </c>
      <c r="N199" s="1" t="s">
        <v>8080</v>
      </c>
    </row>
    <row r="200" spans="1:14">
      <c r="A200" s="1" t="s">
        <v>789</v>
      </c>
      <c r="B200" s="1" t="s">
        <v>790</v>
      </c>
      <c r="C200" s="1" t="s">
        <v>791</v>
      </c>
      <c r="D200" s="1" t="s">
        <v>936</v>
      </c>
      <c r="E200" s="1" t="s">
        <v>8718</v>
      </c>
      <c r="F200" s="1" t="s">
        <v>7043</v>
      </c>
      <c r="G200" t="s">
        <v>8719</v>
      </c>
      <c r="H200">
        <v>12489324</v>
      </c>
      <c r="I200" s="1" t="s">
        <v>8720</v>
      </c>
      <c r="J200" s="44" t="s">
        <v>8720</v>
      </c>
      <c r="K200" s="44" t="s">
        <v>5537</v>
      </c>
      <c r="L200" s="1" t="s">
        <v>5793</v>
      </c>
      <c r="M200" s="1" t="s">
        <v>8721</v>
      </c>
      <c r="N200" s="1" t="s">
        <v>8107</v>
      </c>
    </row>
    <row r="201" spans="1:14">
      <c r="A201" s="1" t="s">
        <v>813</v>
      </c>
      <c r="B201" s="1" t="s">
        <v>814</v>
      </c>
      <c r="C201" s="1" t="s">
        <v>815</v>
      </c>
      <c r="D201" s="1" t="s">
        <v>940</v>
      </c>
      <c r="E201" s="1" t="s">
        <v>8722</v>
      </c>
      <c r="F201" s="1" t="s">
        <v>8723</v>
      </c>
      <c r="G201" t="s">
        <v>8724</v>
      </c>
      <c r="H201">
        <v>12469318</v>
      </c>
      <c r="I201" s="1" t="s">
        <v>817</v>
      </c>
      <c r="J201" s="44" t="s">
        <v>818</v>
      </c>
      <c r="K201" s="44" t="s">
        <v>5767</v>
      </c>
      <c r="L201" s="1" t="s">
        <v>6062</v>
      </c>
      <c r="M201" s="1" t="s">
        <v>7075</v>
      </c>
      <c r="N201" s="1" t="s">
        <v>8190</v>
      </c>
    </row>
    <row r="202" spans="1:14">
      <c r="A202" s="1" t="s">
        <v>1025</v>
      </c>
      <c r="B202" s="1" t="s">
        <v>1026</v>
      </c>
      <c r="C202" s="1" t="s">
        <v>1027</v>
      </c>
      <c r="D202" s="1" t="s">
        <v>945</v>
      </c>
      <c r="E202" s="1" t="s">
        <v>8725</v>
      </c>
      <c r="F202" s="1" t="s">
        <v>8726</v>
      </c>
      <c r="G202" t="s">
        <v>8727</v>
      </c>
      <c r="H202">
        <v>12444641</v>
      </c>
      <c r="I202" s="1" t="s">
        <v>4994</v>
      </c>
      <c r="J202" s="44" t="s">
        <v>1029</v>
      </c>
      <c r="K202" s="44" t="s">
        <v>5100</v>
      </c>
      <c r="L202" s="1" t="s">
        <v>8030</v>
      </c>
      <c r="M202" s="1" t="s">
        <v>8728</v>
      </c>
      <c r="N202" s="1" t="s">
        <v>8121</v>
      </c>
    </row>
    <row r="203" spans="1:14">
      <c r="A203" s="1" t="s">
        <v>732</v>
      </c>
      <c r="B203" s="1" t="s">
        <v>733</v>
      </c>
      <c r="C203" s="1" t="s">
        <v>734</v>
      </c>
      <c r="D203" s="1" t="s">
        <v>949</v>
      </c>
      <c r="E203" s="1" t="s">
        <v>8729</v>
      </c>
      <c r="F203" s="1" t="s">
        <v>7947</v>
      </c>
      <c r="G203" t="s">
        <v>8730</v>
      </c>
      <c r="H203">
        <v>12269085</v>
      </c>
      <c r="I203" s="1" t="s">
        <v>6696</v>
      </c>
      <c r="J203" s="44" t="s">
        <v>6697</v>
      </c>
      <c r="K203" s="44" t="s">
        <v>5843</v>
      </c>
      <c r="L203" s="1" t="s">
        <v>6040</v>
      </c>
      <c r="M203" s="1" t="s">
        <v>7900</v>
      </c>
      <c r="N203" s="1" t="s">
        <v>8074</v>
      </c>
    </row>
    <row r="204" spans="1:14">
      <c r="A204" s="1" t="s">
        <v>797</v>
      </c>
      <c r="B204" s="1" t="s">
        <v>798</v>
      </c>
      <c r="C204" s="1" t="s">
        <v>799</v>
      </c>
      <c r="D204" s="1" t="s">
        <v>953</v>
      </c>
      <c r="E204" s="1" t="s">
        <v>8731</v>
      </c>
      <c r="F204" s="1" t="s">
        <v>8732</v>
      </c>
      <c r="G204" t="s">
        <v>8733</v>
      </c>
      <c r="H204">
        <v>12170240</v>
      </c>
      <c r="I204" s="1" t="s">
        <v>801</v>
      </c>
      <c r="J204" s="44" t="s">
        <v>801</v>
      </c>
      <c r="K204" s="44" t="s">
        <v>7040</v>
      </c>
      <c r="L204" s="1" t="s">
        <v>7516</v>
      </c>
      <c r="M204" s="1" t="s">
        <v>5920</v>
      </c>
      <c r="N204" s="1" t="s">
        <v>8098</v>
      </c>
    </row>
    <row r="205" spans="1:14">
      <c r="A205" s="1" t="s">
        <v>5189</v>
      </c>
      <c r="B205" s="1" t="s">
        <v>5190</v>
      </c>
      <c r="C205" s="1" t="s">
        <v>5191</v>
      </c>
      <c r="D205" s="1" t="s">
        <v>957</v>
      </c>
      <c r="E205" s="1" t="s">
        <v>8734</v>
      </c>
      <c r="F205" s="1" t="s">
        <v>8735</v>
      </c>
      <c r="G205" t="s">
        <v>8736</v>
      </c>
      <c r="H205">
        <v>12161492</v>
      </c>
      <c r="I205" s="1" t="s">
        <v>5779</v>
      </c>
      <c r="J205" s="44" t="s">
        <v>5192</v>
      </c>
      <c r="K205" s="44" t="s">
        <v>5875</v>
      </c>
      <c r="L205" s="1" t="s">
        <v>6775</v>
      </c>
      <c r="M205" s="1" t="s">
        <v>6495</v>
      </c>
      <c r="N205" s="1" t="s">
        <v>8140</v>
      </c>
    </row>
    <row r="206" spans="1:14">
      <c r="A206" s="1" t="s">
        <v>912</v>
      </c>
      <c r="B206" s="1" t="s">
        <v>913</v>
      </c>
      <c r="C206" s="1" t="s">
        <v>914</v>
      </c>
      <c r="D206" s="1" t="s">
        <v>962</v>
      </c>
      <c r="E206" s="1" t="s">
        <v>8737</v>
      </c>
      <c r="F206" s="1" t="s">
        <v>8738</v>
      </c>
      <c r="G206" t="s">
        <v>8739</v>
      </c>
      <c r="H206">
        <v>12120320</v>
      </c>
      <c r="I206" s="1" t="s">
        <v>916</v>
      </c>
      <c r="J206" s="44" t="s">
        <v>54</v>
      </c>
      <c r="K206" s="44" t="s">
        <v>5</v>
      </c>
      <c r="L206" s="1" t="s">
        <v>7688</v>
      </c>
      <c r="M206" s="1" t="s">
        <v>6974</v>
      </c>
      <c r="N206" s="1" t="s">
        <v>8213</v>
      </c>
    </row>
    <row r="207" spans="1:14">
      <c r="A207" s="1" t="s">
        <v>852</v>
      </c>
      <c r="B207" s="1" t="s">
        <v>853</v>
      </c>
      <c r="C207" s="1" t="s">
        <v>854</v>
      </c>
      <c r="D207" s="1" t="s">
        <v>966</v>
      </c>
      <c r="E207" s="1" t="s">
        <v>8740</v>
      </c>
      <c r="F207" s="1" t="s">
        <v>7759</v>
      </c>
      <c r="G207" t="s">
        <v>8741</v>
      </c>
      <c r="H207">
        <v>12115464</v>
      </c>
      <c r="I207" s="1" t="s">
        <v>856</v>
      </c>
      <c r="J207" s="44" t="s">
        <v>856</v>
      </c>
      <c r="K207" s="44" t="s">
        <v>5065</v>
      </c>
      <c r="L207" s="1" t="s">
        <v>7652</v>
      </c>
      <c r="M207" s="1" t="s">
        <v>6358</v>
      </c>
      <c r="N207" s="1" t="s">
        <v>8190</v>
      </c>
    </row>
    <row r="208" spans="1:14">
      <c r="A208" s="1" t="s">
        <v>857</v>
      </c>
      <c r="B208" s="1" t="s">
        <v>858</v>
      </c>
      <c r="C208" s="1" t="s">
        <v>859</v>
      </c>
      <c r="D208" s="1" t="s">
        <v>970</v>
      </c>
      <c r="E208" s="1" t="s">
        <v>8742</v>
      </c>
      <c r="F208" s="1" t="s">
        <v>5828</v>
      </c>
      <c r="G208" t="s">
        <v>8743</v>
      </c>
      <c r="H208">
        <v>12013722</v>
      </c>
      <c r="I208" s="1" t="s">
        <v>5272</v>
      </c>
      <c r="J208" s="44" t="s">
        <v>861</v>
      </c>
      <c r="K208" s="44" t="s">
        <v>5522</v>
      </c>
      <c r="L208" s="1" t="s">
        <v>5791</v>
      </c>
      <c r="M208" s="1" t="s">
        <v>7076</v>
      </c>
      <c r="N208" s="1" t="s">
        <v>8396</v>
      </c>
    </row>
    <row r="209" spans="1:14">
      <c r="A209" s="1" t="s">
        <v>5203</v>
      </c>
      <c r="B209" s="1" t="s">
        <v>5204</v>
      </c>
      <c r="C209" s="1" t="s">
        <v>4895</v>
      </c>
      <c r="D209" s="1" t="s">
        <v>974</v>
      </c>
      <c r="E209" s="1" t="s">
        <v>8744</v>
      </c>
      <c r="F209" s="1" t="s">
        <v>8745</v>
      </c>
      <c r="G209" t="s">
        <v>8746</v>
      </c>
      <c r="H209">
        <v>11944240</v>
      </c>
      <c r="I209" s="1" t="s">
        <v>361</v>
      </c>
      <c r="J209" s="44" t="s">
        <v>54</v>
      </c>
      <c r="K209" s="44" t="s">
        <v>5842</v>
      </c>
      <c r="L209" s="1" t="s">
        <v>7188</v>
      </c>
      <c r="M209" s="1" t="s">
        <v>7160</v>
      </c>
      <c r="N209" s="1" t="s">
        <v>8140</v>
      </c>
    </row>
    <row r="210" spans="1:14">
      <c r="A210" s="1" t="s">
        <v>933</v>
      </c>
      <c r="B210" s="1" t="s">
        <v>934</v>
      </c>
      <c r="C210" s="1" t="s">
        <v>935</v>
      </c>
      <c r="D210" s="1" t="s">
        <v>979</v>
      </c>
      <c r="E210" s="1" t="s">
        <v>8747</v>
      </c>
      <c r="F210" s="1" t="s">
        <v>6698</v>
      </c>
      <c r="G210" t="s">
        <v>8748</v>
      </c>
      <c r="H210">
        <v>11593766</v>
      </c>
      <c r="I210" s="1" t="s">
        <v>8749</v>
      </c>
      <c r="J210" s="44" t="s">
        <v>8749</v>
      </c>
      <c r="K210" s="44" t="s">
        <v>5001</v>
      </c>
      <c r="L210" s="1" t="s">
        <v>6253</v>
      </c>
      <c r="M210" s="1" t="s">
        <v>8750</v>
      </c>
      <c r="N210" s="1" t="s">
        <v>8090</v>
      </c>
    </row>
    <row r="211" spans="1:14">
      <c r="A211" s="1" t="s">
        <v>888</v>
      </c>
      <c r="B211" s="1" t="s">
        <v>889</v>
      </c>
      <c r="C211" s="1" t="s">
        <v>890</v>
      </c>
      <c r="D211" s="1" t="s">
        <v>983</v>
      </c>
      <c r="E211" s="1" t="s">
        <v>8751</v>
      </c>
      <c r="F211" s="1" t="s">
        <v>8752</v>
      </c>
      <c r="G211" t="s">
        <v>8753</v>
      </c>
      <c r="H211">
        <v>11351403</v>
      </c>
      <c r="I211" s="1" t="s">
        <v>5273</v>
      </c>
      <c r="J211" s="44" t="s">
        <v>230</v>
      </c>
      <c r="K211" s="44" t="s">
        <v>5494</v>
      </c>
      <c r="L211" s="1" t="s">
        <v>7226</v>
      </c>
      <c r="M211" s="1" t="s">
        <v>7107</v>
      </c>
      <c r="N211" s="1" t="s">
        <v>8162</v>
      </c>
    </row>
    <row r="212" spans="1:14">
      <c r="A212" s="1" t="s">
        <v>937</v>
      </c>
      <c r="B212" s="1" t="s">
        <v>938</v>
      </c>
      <c r="C212" s="1" t="s">
        <v>939</v>
      </c>
      <c r="D212" s="1" t="s">
        <v>988</v>
      </c>
      <c r="E212" s="1" t="s">
        <v>8754</v>
      </c>
      <c r="F212" s="1" t="s">
        <v>8755</v>
      </c>
      <c r="G212" t="s">
        <v>8756</v>
      </c>
      <c r="H212">
        <v>11208120</v>
      </c>
      <c r="I212" s="1" t="s">
        <v>941</v>
      </c>
      <c r="J212" s="44" t="s">
        <v>941</v>
      </c>
      <c r="K212" s="44" t="s">
        <v>5095</v>
      </c>
      <c r="L212" s="1" t="s">
        <v>7084</v>
      </c>
      <c r="M212" s="1" t="s">
        <v>7015</v>
      </c>
      <c r="N212" s="1" t="s">
        <v>8080</v>
      </c>
    </row>
    <row r="213" spans="1:14">
      <c r="A213" s="1" t="s">
        <v>666</v>
      </c>
      <c r="B213" s="1" t="s">
        <v>667</v>
      </c>
      <c r="C213" s="1" t="s">
        <v>668</v>
      </c>
      <c r="D213" s="1" t="s">
        <v>994</v>
      </c>
      <c r="E213" s="1" t="s">
        <v>7803</v>
      </c>
      <c r="F213" s="1" t="s">
        <v>8757</v>
      </c>
      <c r="G213" t="s">
        <v>8758</v>
      </c>
      <c r="H213">
        <v>10962701</v>
      </c>
      <c r="I213" s="1" t="s">
        <v>6192</v>
      </c>
      <c r="J213" s="44" t="s">
        <v>6700</v>
      </c>
      <c r="K213" s="44" t="s">
        <v>5681</v>
      </c>
      <c r="L213" s="1" t="s">
        <v>7618</v>
      </c>
      <c r="M213" s="1" t="s">
        <v>8759</v>
      </c>
      <c r="N213" s="1" t="s">
        <v>8121</v>
      </c>
    </row>
    <row r="214" spans="1:14">
      <c r="A214" s="1" t="s">
        <v>896</v>
      </c>
      <c r="B214" s="1" t="s">
        <v>897</v>
      </c>
      <c r="C214" s="1" t="s">
        <v>898</v>
      </c>
      <c r="D214" s="1" t="s">
        <v>1000</v>
      </c>
      <c r="E214" s="1" t="s">
        <v>8760</v>
      </c>
      <c r="F214" s="1" t="s">
        <v>6699</v>
      </c>
      <c r="G214" t="s">
        <v>8761</v>
      </c>
      <c r="H214">
        <v>10952797</v>
      </c>
      <c r="I214" s="1" t="s">
        <v>900</v>
      </c>
      <c r="J214" s="44" t="s">
        <v>900</v>
      </c>
      <c r="K214" s="44" t="s">
        <v>5407</v>
      </c>
      <c r="L214" s="1" t="s">
        <v>7389</v>
      </c>
      <c r="M214" s="1" t="s">
        <v>7346</v>
      </c>
      <c r="N214" s="1" t="s">
        <v>8396</v>
      </c>
    </row>
    <row r="215" spans="1:14">
      <c r="A215" s="1" t="s">
        <v>750</v>
      </c>
      <c r="B215" s="1" t="s">
        <v>751</v>
      </c>
      <c r="C215" s="1" t="s">
        <v>752</v>
      </c>
      <c r="D215" s="1" t="s">
        <v>1006</v>
      </c>
      <c r="E215" s="1" t="s">
        <v>8762</v>
      </c>
      <c r="F215" s="1" t="s">
        <v>1709</v>
      </c>
      <c r="G215" t="s">
        <v>8763</v>
      </c>
      <c r="H215">
        <v>10449284</v>
      </c>
      <c r="I215" s="1" t="s">
        <v>8764</v>
      </c>
      <c r="J215" s="44" t="s">
        <v>8764</v>
      </c>
      <c r="K215" s="44" t="s">
        <v>7384</v>
      </c>
      <c r="L215" s="1" t="s">
        <v>5500</v>
      </c>
      <c r="M215" s="1" t="s">
        <v>7879</v>
      </c>
      <c r="N215" s="1" t="s">
        <v>8085</v>
      </c>
    </row>
    <row r="216" spans="1:14">
      <c r="A216" s="1" t="s">
        <v>1045</v>
      </c>
      <c r="B216" s="1" t="s">
        <v>1046</v>
      </c>
      <c r="C216" s="1" t="s">
        <v>1047</v>
      </c>
      <c r="D216" s="1" t="s">
        <v>1010</v>
      </c>
      <c r="E216" s="1" t="s">
        <v>8765</v>
      </c>
      <c r="F216" s="1" t="s">
        <v>7047</v>
      </c>
      <c r="G216" t="s">
        <v>8766</v>
      </c>
      <c r="H216">
        <v>10237200</v>
      </c>
      <c r="I216" s="1" t="s">
        <v>8767</v>
      </c>
      <c r="J216" s="44" t="s">
        <v>8768</v>
      </c>
      <c r="K216" s="44" t="s">
        <v>6144</v>
      </c>
      <c r="L216" s="1" t="s">
        <v>5682</v>
      </c>
      <c r="M216" s="1" t="s">
        <v>7022</v>
      </c>
      <c r="N216" s="1" t="s">
        <v>8112</v>
      </c>
    </row>
    <row r="217" spans="1:14">
      <c r="A217" s="1" t="s">
        <v>862</v>
      </c>
      <c r="B217" s="1" t="s">
        <v>863</v>
      </c>
      <c r="C217" s="1" t="s">
        <v>863</v>
      </c>
      <c r="D217" s="1" t="s">
        <v>1014</v>
      </c>
      <c r="E217" s="1" t="s">
        <v>8769</v>
      </c>
      <c r="F217" s="1" t="s">
        <v>8770</v>
      </c>
      <c r="G217" t="s">
        <v>8771</v>
      </c>
      <c r="H217">
        <v>9922490</v>
      </c>
      <c r="I217" s="1" t="s">
        <v>230</v>
      </c>
      <c r="J217" s="44" t="s">
        <v>230</v>
      </c>
      <c r="K217" s="44" t="s">
        <v>5088</v>
      </c>
      <c r="L217" s="1" t="s">
        <v>7285</v>
      </c>
      <c r="M217" s="1" t="s">
        <v>6177</v>
      </c>
      <c r="N217" s="1" t="s">
        <v>8186</v>
      </c>
    </row>
    <row r="218" spans="1:14">
      <c r="A218" s="1" t="s">
        <v>802</v>
      </c>
      <c r="B218" s="1" t="s">
        <v>803</v>
      </c>
      <c r="C218" s="1" t="s">
        <v>804</v>
      </c>
      <c r="D218" s="1" t="s">
        <v>1019</v>
      </c>
      <c r="E218" s="1" t="s">
        <v>8772</v>
      </c>
      <c r="F218" s="1" t="s">
        <v>6701</v>
      </c>
      <c r="G218" t="s">
        <v>8773</v>
      </c>
      <c r="H218">
        <v>9685367</v>
      </c>
      <c r="I218" s="1" t="s">
        <v>806</v>
      </c>
      <c r="J218" s="44" t="s">
        <v>807</v>
      </c>
      <c r="K218" s="44" t="s">
        <v>5399</v>
      </c>
      <c r="L218" s="1" t="s">
        <v>6435</v>
      </c>
      <c r="M218" s="1" t="s">
        <v>8774</v>
      </c>
      <c r="N218" s="1" t="s">
        <v>8121</v>
      </c>
    </row>
    <row r="219" spans="1:14">
      <c r="A219" s="1" t="s">
        <v>907</v>
      </c>
      <c r="B219" s="1" t="s">
        <v>908</v>
      </c>
      <c r="C219" s="1" t="s">
        <v>909</v>
      </c>
      <c r="D219" s="1" t="s">
        <v>1024</v>
      </c>
      <c r="E219" s="1" t="s">
        <v>8775</v>
      </c>
      <c r="F219" s="1" t="s">
        <v>8776</v>
      </c>
      <c r="G219" t="s">
        <v>8777</v>
      </c>
      <c r="H219">
        <v>9637287</v>
      </c>
      <c r="I219" s="1" t="s">
        <v>8778</v>
      </c>
      <c r="J219" s="44" t="s">
        <v>911</v>
      </c>
      <c r="K219" s="44" t="s">
        <v>5066</v>
      </c>
      <c r="L219" s="1" t="s">
        <v>7452</v>
      </c>
      <c r="M219" s="1" t="s">
        <v>7279</v>
      </c>
      <c r="N219" s="1" t="s">
        <v>8162</v>
      </c>
    </row>
    <row r="220" spans="1:14">
      <c r="A220" s="1" t="s">
        <v>1003</v>
      </c>
      <c r="B220" s="1" t="s">
        <v>1004</v>
      </c>
      <c r="C220" s="1" t="s">
        <v>1005</v>
      </c>
      <c r="D220" s="1" t="s">
        <v>1028</v>
      </c>
      <c r="E220" s="1" t="s">
        <v>8779</v>
      </c>
      <c r="F220" s="1" t="s">
        <v>5921</v>
      </c>
      <c r="G220" t="s">
        <v>8780</v>
      </c>
      <c r="H220">
        <v>9426091</v>
      </c>
      <c r="I220" s="1" t="s">
        <v>8781</v>
      </c>
      <c r="J220" s="44" t="s">
        <v>8782</v>
      </c>
      <c r="K220" s="44" t="s">
        <v>7449</v>
      </c>
      <c r="L220" s="1" t="s">
        <v>6280</v>
      </c>
      <c r="M220" s="1" t="s">
        <v>7551</v>
      </c>
      <c r="N220" s="1" t="s">
        <v>8080</v>
      </c>
    </row>
    <row r="221" spans="1:14">
      <c r="A221" s="1" t="s">
        <v>5144</v>
      </c>
      <c r="B221" s="1" t="s">
        <v>5145</v>
      </c>
      <c r="C221" s="1" t="s">
        <v>5145</v>
      </c>
      <c r="D221" s="1" t="s">
        <v>1033</v>
      </c>
      <c r="E221" s="1" t="s">
        <v>8783</v>
      </c>
      <c r="F221" s="1" t="s">
        <v>7041</v>
      </c>
      <c r="G221" t="s">
        <v>8784</v>
      </c>
      <c r="H221">
        <v>9414835</v>
      </c>
      <c r="I221" s="1" t="s">
        <v>6665</v>
      </c>
      <c r="J221" s="44" t="s">
        <v>5146</v>
      </c>
      <c r="K221" s="44" t="s">
        <v>5537</v>
      </c>
      <c r="L221" s="1" t="s">
        <v>8785</v>
      </c>
      <c r="M221" s="1" t="s">
        <v>5062</v>
      </c>
      <c r="N221" s="1" t="s">
        <v>8140</v>
      </c>
    </row>
    <row r="222" spans="1:14">
      <c r="A222" s="1" t="s">
        <v>942</v>
      </c>
      <c r="B222" s="1" t="s">
        <v>943</v>
      </c>
      <c r="C222" s="1" t="s">
        <v>944</v>
      </c>
      <c r="D222" s="1" t="s">
        <v>1038</v>
      </c>
      <c r="E222" s="1" t="s">
        <v>8786</v>
      </c>
      <c r="F222" s="1" t="s">
        <v>7949</v>
      </c>
      <c r="G222" t="s">
        <v>8787</v>
      </c>
      <c r="H222">
        <v>9247760</v>
      </c>
      <c r="I222" s="1" t="s">
        <v>8788</v>
      </c>
      <c r="J222" s="44" t="s">
        <v>8788</v>
      </c>
      <c r="K222" s="44" t="s">
        <v>5399</v>
      </c>
      <c r="L222" s="1" t="s">
        <v>5874</v>
      </c>
      <c r="M222" s="1" t="s">
        <v>7768</v>
      </c>
      <c r="N222" s="1" t="s">
        <v>8173</v>
      </c>
    </row>
    <row r="223" spans="1:14">
      <c r="A223" s="1" t="s">
        <v>892</v>
      </c>
      <c r="B223" s="1" t="s">
        <v>893</v>
      </c>
      <c r="C223" s="1" t="s">
        <v>894</v>
      </c>
      <c r="D223" s="1" t="s">
        <v>1043</v>
      </c>
      <c r="E223" s="1" t="s">
        <v>8789</v>
      </c>
      <c r="F223" s="1" t="s">
        <v>8790</v>
      </c>
      <c r="G223" t="s">
        <v>8791</v>
      </c>
      <c r="H223">
        <v>9165767</v>
      </c>
      <c r="I223" s="1" t="s">
        <v>8792</v>
      </c>
      <c r="J223" s="44" t="s">
        <v>8792</v>
      </c>
      <c r="K223" s="44" t="s">
        <v>5998</v>
      </c>
      <c r="L223" s="1" t="s">
        <v>7468</v>
      </c>
      <c r="M223" s="1" t="s">
        <v>6313</v>
      </c>
      <c r="N223" s="1" t="s">
        <v>8152</v>
      </c>
    </row>
    <row r="224" spans="1:14">
      <c r="A224" s="1" t="s">
        <v>820</v>
      </c>
      <c r="B224" s="1" t="s">
        <v>821</v>
      </c>
      <c r="C224" s="1" t="s">
        <v>821</v>
      </c>
      <c r="D224" s="1" t="s">
        <v>1048</v>
      </c>
      <c r="E224" s="1" t="s">
        <v>8793</v>
      </c>
      <c r="F224" s="1" t="s">
        <v>7804</v>
      </c>
      <c r="G224" t="s">
        <v>8794</v>
      </c>
      <c r="H224">
        <v>8953005</v>
      </c>
      <c r="I224" s="1" t="s">
        <v>5274</v>
      </c>
      <c r="J224" s="44" t="s">
        <v>5274</v>
      </c>
      <c r="K224" s="44" t="s">
        <v>5498</v>
      </c>
      <c r="L224" s="1" t="s">
        <v>6623</v>
      </c>
      <c r="M224" s="1" t="s">
        <v>8795</v>
      </c>
      <c r="N224" s="1" t="s">
        <v>8190</v>
      </c>
    </row>
    <row r="225" spans="1:14">
      <c r="A225" s="1" t="s">
        <v>997</v>
      </c>
      <c r="B225" s="1" t="s">
        <v>998</v>
      </c>
      <c r="C225" s="1" t="s">
        <v>999</v>
      </c>
      <c r="D225" s="1" t="s">
        <v>1052</v>
      </c>
      <c r="E225" s="1" t="s">
        <v>8796</v>
      </c>
      <c r="F225" s="1" t="s">
        <v>8797</v>
      </c>
      <c r="G225" t="s">
        <v>8798</v>
      </c>
      <c r="H225">
        <v>8944545</v>
      </c>
      <c r="I225" s="1" t="s">
        <v>1001</v>
      </c>
      <c r="J225" s="44" t="s">
        <v>1002</v>
      </c>
      <c r="K225" s="44" t="s">
        <v>5386</v>
      </c>
      <c r="L225" s="1" t="s">
        <v>6141</v>
      </c>
      <c r="M225" s="1" t="s">
        <v>7370</v>
      </c>
      <c r="N225" s="1" t="s">
        <v>8065</v>
      </c>
    </row>
    <row r="226" spans="1:14">
      <c r="A226" s="1" t="s">
        <v>1011</v>
      </c>
      <c r="B226" s="1" t="s">
        <v>1012</v>
      </c>
      <c r="C226" s="1" t="s">
        <v>1013</v>
      </c>
      <c r="D226" s="1" t="s">
        <v>1056</v>
      </c>
      <c r="E226" s="1" t="s">
        <v>8799</v>
      </c>
      <c r="F226" s="1" t="s">
        <v>8800</v>
      </c>
      <c r="G226" t="s">
        <v>8801</v>
      </c>
      <c r="H226">
        <v>8853763</v>
      </c>
      <c r="I226" s="1" t="s">
        <v>1015</v>
      </c>
      <c r="J226" s="44" t="s">
        <v>1015</v>
      </c>
      <c r="K226" s="44" t="s">
        <v>5590</v>
      </c>
      <c r="L226" s="1" t="s">
        <v>7319</v>
      </c>
      <c r="M226" s="1" t="s">
        <v>5799</v>
      </c>
      <c r="N226" s="1" t="s">
        <v>8162</v>
      </c>
    </row>
    <row r="227" spans="1:14">
      <c r="A227" s="1" t="s">
        <v>923</v>
      </c>
      <c r="B227" s="1" t="s">
        <v>924</v>
      </c>
      <c r="C227" s="1" t="s">
        <v>925</v>
      </c>
      <c r="D227" s="1" t="s">
        <v>1060</v>
      </c>
      <c r="E227" s="1" t="s">
        <v>8802</v>
      </c>
      <c r="F227" s="1" t="s">
        <v>7349</v>
      </c>
      <c r="G227" t="s">
        <v>8803</v>
      </c>
      <c r="H227">
        <v>8666987</v>
      </c>
      <c r="I227" s="1" t="s">
        <v>8804</v>
      </c>
      <c r="J227" s="44" t="s">
        <v>8804</v>
      </c>
      <c r="K227" s="44" t="s">
        <v>5904</v>
      </c>
      <c r="L227" s="1" t="s">
        <v>7234</v>
      </c>
      <c r="M227" s="1" t="s">
        <v>7950</v>
      </c>
      <c r="N227" s="1" t="s">
        <v>8173</v>
      </c>
    </row>
    <row r="228" spans="1:14">
      <c r="A228" s="1" t="s">
        <v>917</v>
      </c>
      <c r="B228" s="1" t="s">
        <v>918</v>
      </c>
      <c r="C228" s="1" t="s">
        <v>919</v>
      </c>
      <c r="D228" s="1" t="s">
        <v>1064</v>
      </c>
      <c r="E228" s="1" t="s">
        <v>8805</v>
      </c>
      <c r="F228" s="1" t="s">
        <v>8806</v>
      </c>
      <c r="G228" t="s">
        <v>8807</v>
      </c>
      <c r="H228">
        <v>8404809</v>
      </c>
      <c r="I228" s="1" t="s">
        <v>921</v>
      </c>
      <c r="J228" s="44" t="s">
        <v>921</v>
      </c>
      <c r="K228" s="44" t="s">
        <v>5138</v>
      </c>
      <c r="L228" s="1" t="s">
        <v>6337</v>
      </c>
      <c r="M228" s="1" t="s">
        <v>6921</v>
      </c>
      <c r="N228" s="1" t="s">
        <v>8070</v>
      </c>
    </row>
    <row r="229" spans="1:14">
      <c r="A229" s="1" t="s">
        <v>901</v>
      </c>
      <c r="B229" s="1" t="s">
        <v>902</v>
      </c>
      <c r="C229" s="1" t="s">
        <v>903</v>
      </c>
      <c r="D229" s="1" t="s">
        <v>1068</v>
      </c>
      <c r="E229" s="1" t="s">
        <v>8808</v>
      </c>
      <c r="F229" s="1" t="s">
        <v>8809</v>
      </c>
      <c r="G229" t="s">
        <v>8810</v>
      </c>
      <c r="H229">
        <v>8371956</v>
      </c>
      <c r="I229" s="1" t="s">
        <v>905</v>
      </c>
      <c r="J229" s="44" t="s">
        <v>906</v>
      </c>
      <c r="K229" s="44" t="s">
        <v>7113</v>
      </c>
      <c r="L229" s="1" t="s">
        <v>7063</v>
      </c>
      <c r="M229" s="1" t="s">
        <v>7541</v>
      </c>
      <c r="N229" s="1" t="s">
        <v>8112</v>
      </c>
    </row>
    <row r="230" spans="1:14">
      <c r="A230" s="1" t="s">
        <v>976</v>
      </c>
      <c r="B230" s="1" t="s">
        <v>977</v>
      </c>
      <c r="C230" s="1" t="s">
        <v>978</v>
      </c>
      <c r="D230" s="1" t="s">
        <v>1072</v>
      </c>
      <c r="E230" s="1" t="s">
        <v>8811</v>
      </c>
      <c r="F230" s="1" t="s">
        <v>7594</v>
      </c>
      <c r="G230" t="s">
        <v>8812</v>
      </c>
      <c r="H230">
        <v>8369675</v>
      </c>
      <c r="I230" s="1" t="s">
        <v>8813</v>
      </c>
      <c r="J230" s="44" t="s">
        <v>8813</v>
      </c>
      <c r="K230" s="44" t="s">
        <v>5755</v>
      </c>
      <c r="L230" s="1" t="s">
        <v>5788</v>
      </c>
      <c r="M230" s="1" t="s">
        <v>7301</v>
      </c>
      <c r="N230" s="1" t="s">
        <v>8162</v>
      </c>
    </row>
    <row r="231" spans="1:14">
      <c r="A231" s="1" t="s">
        <v>832</v>
      </c>
      <c r="B231" s="1" t="s">
        <v>833</v>
      </c>
      <c r="C231" s="1" t="s">
        <v>834</v>
      </c>
      <c r="D231" s="1" t="s">
        <v>1075</v>
      </c>
      <c r="E231" s="1" t="s">
        <v>8814</v>
      </c>
      <c r="F231" s="1" t="s">
        <v>7952</v>
      </c>
      <c r="G231" t="s">
        <v>8815</v>
      </c>
      <c r="H231">
        <v>8253227</v>
      </c>
      <c r="I231" s="1" t="s">
        <v>8816</v>
      </c>
      <c r="J231" s="44" t="s">
        <v>8816</v>
      </c>
      <c r="K231" s="44" t="s">
        <v>6032</v>
      </c>
      <c r="L231" s="1" t="s">
        <v>6969</v>
      </c>
      <c r="M231" s="1" t="s">
        <v>7568</v>
      </c>
      <c r="N231" s="1" t="s">
        <v>8173</v>
      </c>
    </row>
    <row r="232" spans="1:14">
      <c r="A232" s="1" t="s">
        <v>701</v>
      </c>
      <c r="B232" s="1" t="s">
        <v>702</v>
      </c>
      <c r="C232" s="1" t="s">
        <v>703</v>
      </c>
      <c r="D232" s="1" t="s">
        <v>1079</v>
      </c>
      <c r="E232" s="1" t="s">
        <v>8817</v>
      </c>
      <c r="F232" s="1" t="s">
        <v>7953</v>
      </c>
      <c r="G232" t="s">
        <v>8818</v>
      </c>
      <c r="H232">
        <v>8202996</v>
      </c>
      <c r="I232" s="1" t="s">
        <v>705</v>
      </c>
      <c r="J232" s="44" t="s">
        <v>706</v>
      </c>
      <c r="K232" s="44" t="s">
        <v>7663</v>
      </c>
      <c r="L232" s="1" t="s">
        <v>6596</v>
      </c>
      <c r="M232" s="1" t="s">
        <v>7127</v>
      </c>
      <c r="N232" s="1" t="s">
        <v>8121</v>
      </c>
    </row>
    <row r="233" spans="1:14">
      <c r="A233" s="1" t="s">
        <v>946</v>
      </c>
      <c r="B233" s="1" t="s">
        <v>947</v>
      </c>
      <c r="C233" s="1" t="s">
        <v>948</v>
      </c>
      <c r="D233" s="1" t="s">
        <v>1085</v>
      </c>
      <c r="E233" s="1" t="s">
        <v>8819</v>
      </c>
      <c r="F233" s="1" t="s">
        <v>7351</v>
      </c>
      <c r="G233" t="s">
        <v>8820</v>
      </c>
      <c r="H233">
        <v>8180688</v>
      </c>
      <c r="I233" s="1" t="s">
        <v>8821</v>
      </c>
      <c r="J233" s="44" t="s">
        <v>8822</v>
      </c>
      <c r="K233" s="44" t="s">
        <v>6319</v>
      </c>
      <c r="L233" s="1" t="s">
        <v>5645</v>
      </c>
      <c r="M233" s="1" t="s">
        <v>6075</v>
      </c>
      <c r="N233" s="1" t="s">
        <v>8107</v>
      </c>
    </row>
    <row r="234" spans="1:14">
      <c r="A234" s="1" t="s">
        <v>1040</v>
      </c>
      <c r="B234" s="1" t="s">
        <v>1041</v>
      </c>
      <c r="C234" s="1" t="s">
        <v>1042</v>
      </c>
      <c r="D234" s="1" t="s">
        <v>1089</v>
      </c>
      <c r="E234" s="1" t="s">
        <v>8823</v>
      </c>
      <c r="F234" s="1" t="s">
        <v>6702</v>
      </c>
      <c r="G234" t="s">
        <v>8824</v>
      </c>
      <c r="H234">
        <v>8110761</v>
      </c>
      <c r="I234" s="1" t="s">
        <v>1044</v>
      </c>
      <c r="J234" s="44" t="s">
        <v>1044</v>
      </c>
      <c r="K234" s="44" t="s">
        <v>5062</v>
      </c>
      <c r="L234" s="1" t="s">
        <v>7016</v>
      </c>
      <c r="M234" s="1" t="s">
        <v>6029</v>
      </c>
      <c r="N234" s="1" t="s">
        <v>8065</v>
      </c>
    </row>
    <row r="235" spans="1:14">
      <c r="A235" s="1" t="s">
        <v>1073</v>
      </c>
      <c r="B235" s="1" t="s">
        <v>1074</v>
      </c>
      <c r="C235" s="1" t="s">
        <v>1074</v>
      </c>
      <c r="D235" s="1" t="s">
        <v>1093</v>
      </c>
      <c r="E235" s="1" t="s">
        <v>8825</v>
      </c>
      <c r="F235" s="1" t="s">
        <v>7057</v>
      </c>
      <c r="G235" t="s">
        <v>8826</v>
      </c>
      <c r="H235">
        <v>8092374</v>
      </c>
      <c r="I235" s="1" t="s">
        <v>8827</v>
      </c>
      <c r="J235" s="44" t="s">
        <v>8827</v>
      </c>
      <c r="K235" s="44" t="s">
        <v>7559</v>
      </c>
      <c r="L235" s="1" t="s">
        <v>6842</v>
      </c>
      <c r="M235" s="1" t="s">
        <v>8828</v>
      </c>
      <c r="N235" s="1" t="s">
        <v>8112</v>
      </c>
    </row>
    <row r="236" spans="1:14">
      <c r="A236" s="1" t="s">
        <v>841</v>
      </c>
      <c r="B236" s="1" t="s">
        <v>842</v>
      </c>
      <c r="C236" s="1" t="s">
        <v>843</v>
      </c>
      <c r="D236" s="1" t="s">
        <v>1097</v>
      </c>
      <c r="E236" s="1" t="s">
        <v>8829</v>
      </c>
      <c r="F236" s="1" t="s">
        <v>6642</v>
      </c>
      <c r="G236" t="s">
        <v>8830</v>
      </c>
      <c r="H236">
        <v>7916311</v>
      </c>
      <c r="I236" s="1" t="s">
        <v>845</v>
      </c>
      <c r="J236" s="44" t="s">
        <v>846</v>
      </c>
      <c r="K236" s="44" t="s">
        <v>5494</v>
      </c>
      <c r="L236" s="1" t="s">
        <v>7061</v>
      </c>
      <c r="M236" s="1" t="s">
        <v>7716</v>
      </c>
      <c r="N236" s="1" t="s">
        <v>8121</v>
      </c>
    </row>
    <row r="237" spans="1:14">
      <c r="A237" s="1" t="s">
        <v>882</v>
      </c>
      <c r="B237" s="1" t="s">
        <v>883</v>
      </c>
      <c r="C237" s="1" t="s">
        <v>884</v>
      </c>
      <c r="D237" s="1" t="s">
        <v>1101</v>
      </c>
      <c r="E237" s="1" t="s">
        <v>8831</v>
      </c>
      <c r="F237" s="1" t="s">
        <v>8832</v>
      </c>
      <c r="G237" t="s">
        <v>8833</v>
      </c>
      <c r="H237">
        <v>7876963</v>
      </c>
      <c r="I237" s="1" t="s">
        <v>886</v>
      </c>
      <c r="J237" s="44" t="s">
        <v>887</v>
      </c>
      <c r="K237" s="44" t="s">
        <v>7567</v>
      </c>
      <c r="L237" s="1" t="s">
        <v>6588</v>
      </c>
      <c r="M237" s="1" t="s">
        <v>7327</v>
      </c>
      <c r="N237" s="1" t="s">
        <v>8080</v>
      </c>
    </row>
    <row r="238" spans="1:14">
      <c r="A238" s="1" t="s">
        <v>5418</v>
      </c>
      <c r="B238" s="1" t="s">
        <v>5419</v>
      </c>
      <c r="C238" s="1" t="s">
        <v>5420</v>
      </c>
      <c r="D238" s="1" t="s">
        <v>1107</v>
      </c>
      <c r="E238" s="1" t="s">
        <v>8834</v>
      </c>
      <c r="F238" s="1" t="s">
        <v>8835</v>
      </c>
      <c r="G238" t="s">
        <v>8836</v>
      </c>
      <c r="H238">
        <v>7676838</v>
      </c>
      <c r="I238" s="1" t="s">
        <v>6196</v>
      </c>
      <c r="J238" s="44" t="s">
        <v>4126</v>
      </c>
      <c r="K238" s="44" t="s">
        <v>7394</v>
      </c>
      <c r="L238" s="1" t="s">
        <v>8837</v>
      </c>
      <c r="M238" s="1"/>
      <c r="N238" s="1" t="s">
        <v>8140</v>
      </c>
    </row>
    <row r="239" spans="1:14">
      <c r="A239" s="1" t="s">
        <v>2376</v>
      </c>
      <c r="B239" s="1" t="s">
        <v>2377</v>
      </c>
      <c r="C239" s="1" t="s">
        <v>2378</v>
      </c>
      <c r="D239" s="1" t="s">
        <v>1111</v>
      </c>
      <c r="E239" s="1" t="s">
        <v>8838</v>
      </c>
      <c r="F239" s="1" t="s">
        <v>8839</v>
      </c>
      <c r="G239" t="s">
        <v>8840</v>
      </c>
      <c r="H239">
        <v>7563795</v>
      </c>
      <c r="I239" s="1" t="s">
        <v>1239</v>
      </c>
      <c r="J239" s="44" t="s">
        <v>1239</v>
      </c>
      <c r="K239" s="44" t="s">
        <v>5403</v>
      </c>
      <c r="L239" s="1" t="s">
        <v>7198</v>
      </c>
      <c r="M239" s="1" t="s">
        <v>8050</v>
      </c>
      <c r="N239" s="1" t="s">
        <v>8080</v>
      </c>
    </row>
    <row r="240" spans="1:14">
      <c r="A240" s="1" t="s">
        <v>971</v>
      </c>
      <c r="B240" s="1" t="s">
        <v>972</v>
      </c>
      <c r="C240" s="1" t="s">
        <v>973</v>
      </c>
      <c r="D240" s="1" t="s">
        <v>1115</v>
      </c>
      <c r="E240" s="1" t="s">
        <v>8841</v>
      </c>
      <c r="F240" s="1" t="s">
        <v>7755</v>
      </c>
      <c r="G240" t="s">
        <v>8842</v>
      </c>
      <c r="H240">
        <v>7534995</v>
      </c>
      <c r="I240" s="1" t="s">
        <v>5096</v>
      </c>
      <c r="J240" s="44" t="s">
        <v>975</v>
      </c>
      <c r="K240" s="44" t="s">
        <v>6537</v>
      </c>
      <c r="L240" s="1" t="s">
        <v>6612</v>
      </c>
      <c r="M240" s="1" t="s">
        <v>7403</v>
      </c>
      <c r="N240" s="1" t="s">
        <v>8396</v>
      </c>
    </row>
    <row r="241" spans="1:14">
      <c r="A241" s="1" t="s">
        <v>1016</v>
      </c>
      <c r="B241" s="1" t="s">
        <v>1017</v>
      </c>
      <c r="C241" s="1" t="s">
        <v>1018</v>
      </c>
      <c r="D241" s="1" t="s">
        <v>1119</v>
      </c>
      <c r="E241" s="1" t="s">
        <v>8843</v>
      </c>
      <c r="F241" s="1" t="s">
        <v>6703</v>
      </c>
      <c r="G241" t="s">
        <v>8844</v>
      </c>
      <c r="H241">
        <v>7506620</v>
      </c>
      <c r="I241" s="1" t="s">
        <v>1020</v>
      </c>
      <c r="J241" s="44" t="s">
        <v>1020</v>
      </c>
      <c r="K241" s="44" t="s">
        <v>5067</v>
      </c>
      <c r="L241" s="1" t="s">
        <v>5225</v>
      </c>
      <c r="M241" s="1" t="s">
        <v>6611</v>
      </c>
      <c r="N241" s="1" t="s">
        <v>8090</v>
      </c>
    </row>
    <row r="242" spans="1:14">
      <c r="A242" s="1" t="s">
        <v>959</v>
      </c>
      <c r="B242" s="1" t="s">
        <v>960</v>
      </c>
      <c r="C242" s="1" t="s">
        <v>961</v>
      </c>
      <c r="D242" s="1" t="s">
        <v>1124</v>
      </c>
      <c r="E242" s="1" t="s">
        <v>8845</v>
      </c>
      <c r="F242" s="1" t="s">
        <v>6799</v>
      </c>
      <c r="G242" t="s">
        <v>8846</v>
      </c>
      <c r="H242">
        <v>7447683</v>
      </c>
      <c r="I242" s="1" t="s">
        <v>8847</v>
      </c>
      <c r="J242" s="44" t="s">
        <v>8847</v>
      </c>
      <c r="K242" s="44" t="s">
        <v>5399</v>
      </c>
      <c r="L242" s="1" t="s">
        <v>7072</v>
      </c>
      <c r="M242" s="1" t="s">
        <v>7905</v>
      </c>
      <c r="N242" s="1" t="s">
        <v>8186</v>
      </c>
    </row>
    <row r="243" spans="1:14">
      <c r="A243" s="1" t="s">
        <v>950</v>
      </c>
      <c r="B243" s="1" t="s">
        <v>951</v>
      </c>
      <c r="C243" s="1" t="s">
        <v>952</v>
      </c>
      <c r="D243" s="1" t="s">
        <v>1127</v>
      </c>
      <c r="E243" s="1" t="s">
        <v>8848</v>
      </c>
      <c r="F243" s="1" t="s">
        <v>8849</v>
      </c>
      <c r="G243" t="s">
        <v>8850</v>
      </c>
      <c r="H243">
        <v>7384106</v>
      </c>
      <c r="I243" s="1" t="s">
        <v>8851</v>
      </c>
      <c r="J243" s="44" t="s">
        <v>8851</v>
      </c>
      <c r="K243" s="44" t="s">
        <v>4998</v>
      </c>
      <c r="L243" s="1" t="s">
        <v>6107</v>
      </c>
      <c r="M243" s="1" t="s">
        <v>7539</v>
      </c>
      <c r="N243" s="1" t="s">
        <v>8107</v>
      </c>
    </row>
    <row r="244" spans="1:14">
      <c r="A244" s="1" t="s">
        <v>1035</v>
      </c>
      <c r="B244" s="1" t="s">
        <v>1036</v>
      </c>
      <c r="C244" s="1" t="s">
        <v>1037</v>
      </c>
      <c r="D244" s="1" t="s">
        <v>1133</v>
      </c>
      <c r="E244" s="1" t="s">
        <v>8852</v>
      </c>
      <c r="F244" s="1" t="s">
        <v>8853</v>
      </c>
      <c r="G244" t="s">
        <v>8854</v>
      </c>
      <c r="H244">
        <v>7363672</v>
      </c>
      <c r="I244" s="1" t="s">
        <v>1039</v>
      </c>
      <c r="J244" s="44" t="s">
        <v>1039</v>
      </c>
      <c r="K244" s="44" t="s">
        <v>5769</v>
      </c>
      <c r="L244" s="1" t="s">
        <v>7242</v>
      </c>
      <c r="M244" s="1" t="s">
        <v>8855</v>
      </c>
      <c r="N244" s="1" t="s">
        <v>8133</v>
      </c>
    </row>
    <row r="245" spans="1:14">
      <c r="A245" s="1" t="s">
        <v>1069</v>
      </c>
      <c r="B245" s="1" t="s">
        <v>1070</v>
      </c>
      <c r="C245" s="1" t="s">
        <v>1071</v>
      </c>
      <c r="D245" s="1" t="s">
        <v>1137</v>
      </c>
      <c r="E245" s="1" t="s">
        <v>8856</v>
      </c>
      <c r="F245" s="1" t="s">
        <v>8857</v>
      </c>
      <c r="G245" t="s">
        <v>8858</v>
      </c>
      <c r="H245">
        <v>7359335</v>
      </c>
      <c r="I245" s="1" t="s">
        <v>8859</v>
      </c>
      <c r="J245" s="44" t="s">
        <v>8860</v>
      </c>
      <c r="K245" s="44" t="s">
        <v>5667</v>
      </c>
      <c r="L245" s="1" t="s">
        <v>6963</v>
      </c>
      <c r="M245" s="1" t="s">
        <v>7509</v>
      </c>
      <c r="N245" s="1" t="s">
        <v>8107</v>
      </c>
    </row>
    <row r="246" spans="1:14">
      <c r="A246" s="1" t="s">
        <v>793</v>
      </c>
      <c r="B246" s="1" t="s">
        <v>794</v>
      </c>
      <c r="C246" s="1" t="s">
        <v>795</v>
      </c>
      <c r="D246" s="1" t="s">
        <v>1142</v>
      </c>
      <c r="E246" s="1" t="s">
        <v>8861</v>
      </c>
      <c r="F246" s="1" t="s">
        <v>6836</v>
      </c>
      <c r="G246" t="s">
        <v>8862</v>
      </c>
      <c r="H246">
        <v>7204211</v>
      </c>
      <c r="I246" s="1" t="s">
        <v>7517</v>
      </c>
      <c r="J246" s="44" t="s">
        <v>7517</v>
      </c>
      <c r="K246" s="44" t="s">
        <v>6319</v>
      </c>
      <c r="L246" s="1" t="s">
        <v>5876</v>
      </c>
      <c r="M246" s="1" t="s">
        <v>5762</v>
      </c>
      <c r="N246" s="1" t="s">
        <v>8152</v>
      </c>
    </row>
    <row r="247" spans="1:14">
      <c r="A247" s="1" t="s">
        <v>3982</v>
      </c>
      <c r="B247" s="1" t="s">
        <v>3983</v>
      </c>
      <c r="C247" s="1" t="s">
        <v>3984</v>
      </c>
      <c r="D247" s="1" t="s">
        <v>1147</v>
      </c>
      <c r="E247" s="1" t="s">
        <v>8863</v>
      </c>
      <c r="F247" s="1" t="s">
        <v>7598</v>
      </c>
      <c r="G247" t="s">
        <v>8864</v>
      </c>
      <c r="H247">
        <v>7191750</v>
      </c>
      <c r="I247" s="1" t="s">
        <v>5069</v>
      </c>
      <c r="J247" s="44" t="s">
        <v>234</v>
      </c>
      <c r="K247" s="44" t="s">
        <v>5775</v>
      </c>
      <c r="L247" s="1" t="s">
        <v>5378</v>
      </c>
      <c r="M247" s="1" t="s">
        <v>7829</v>
      </c>
      <c r="N247" s="1" t="s">
        <v>8213</v>
      </c>
    </row>
    <row r="248" spans="1:14">
      <c r="A248" s="1" t="s">
        <v>4044</v>
      </c>
      <c r="B248" s="1" t="s">
        <v>4045</v>
      </c>
      <c r="C248" s="1" t="s">
        <v>4046</v>
      </c>
      <c r="D248" s="1" t="s">
        <v>1152</v>
      </c>
      <c r="E248" s="1" t="s">
        <v>8865</v>
      </c>
      <c r="F248" s="1" t="s">
        <v>8866</v>
      </c>
      <c r="G248" t="s">
        <v>8867</v>
      </c>
      <c r="H248">
        <v>7152229</v>
      </c>
      <c r="I248" s="1" t="s">
        <v>5139</v>
      </c>
      <c r="J248" s="44" t="s">
        <v>5140</v>
      </c>
      <c r="K248" s="44" t="s">
        <v>5849</v>
      </c>
      <c r="L248" s="1" t="s">
        <v>7326</v>
      </c>
      <c r="M248" s="1" t="s">
        <v>7297</v>
      </c>
      <c r="N248" s="1" t="s">
        <v>8133</v>
      </c>
    </row>
    <row r="249" spans="1:14">
      <c r="A249" s="1" t="s">
        <v>1130</v>
      </c>
      <c r="B249" s="1" t="s">
        <v>1131</v>
      </c>
      <c r="C249" s="1" t="s">
        <v>1132</v>
      </c>
      <c r="D249" s="1" t="s">
        <v>1157</v>
      </c>
      <c r="E249" s="1" t="s">
        <v>8868</v>
      </c>
      <c r="F249" s="1" t="s">
        <v>8869</v>
      </c>
      <c r="G249" t="s">
        <v>8870</v>
      </c>
      <c r="H249">
        <v>7093021</v>
      </c>
      <c r="I249" s="1" t="s">
        <v>8871</v>
      </c>
      <c r="J249" s="44" t="s">
        <v>8871</v>
      </c>
      <c r="K249" s="44" t="s">
        <v>6028</v>
      </c>
      <c r="L249" s="1" t="s">
        <v>5491</v>
      </c>
      <c r="M249" s="1" t="s">
        <v>7881</v>
      </c>
      <c r="N249" s="1" t="s">
        <v>8074</v>
      </c>
    </row>
    <row r="250" spans="1:14">
      <c r="A250" s="1" t="s">
        <v>637</v>
      </c>
      <c r="B250" s="1" t="s">
        <v>638</v>
      </c>
      <c r="C250" s="1" t="s">
        <v>639</v>
      </c>
      <c r="D250" s="1" t="s">
        <v>1163</v>
      </c>
      <c r="E250" s="1" t="s">
        <v>8872</v>
      </c>
      <c r="F250" s="1" t="s">
        <v>5284</v>
      </c>
      <c r="G250" t="s">
        <v>8873</v>
      </c>
      <c r="H250">
        <v>7091314</v>
      </c>
      <c r="I250" s="1" t="s">
        <v>8874</v>
      </c>
      <c r="J250" s="44" t="s">
        <v>8874</v>
      </c>
      <c r="K250" s="44" t="s">
        <v>851</v>
      </c>
      <c r="L250" s="1" t="s">
        <v>8875</v>
      </c>
      <c r="M250" s="1" t="s">
        <v>8876</v>
      </c>
      <c r="N250" s="1" t="s">
        <v>8263</v>
      </c>
    </row>
    <row r="251" spans="1:14">
      <c r="A251" s="1" t="s">
        <v>1112</v>
      </c>
      <c r="B251" s="1" t="s">
        <v>1113</v>
      </c>
      <c r="C251" s="1" t="s">
        <v>1114</v>
      </c>
      <c r="D251" s="1" t="s">
        <v>1167</v>
      </c>
      <c r="E251" s="1" t="s">
        <v>8877</v>
      </c>
      <c r="F251" s="1" t="s">
        <v>8878</v>
      </c>
      <c r="G251" t="s">
        <v>8879</v>
      </c>
      <c r="H251">
        <v>7080763</v>
      </c>
      <c r="I251" s="1" t="s">
        <v>8880</v>
      </c>
      <c r="J251" s="44" t="s">
        <v>8880</v>
      </c>
      <c r="K251" s="44" t="s">
        <v>6032</v>
      </c>
      <c r="L251" s="1" t="s">
        <v>5006</v>
      </c>
      <c r="M251" s="1" t="s">
        <v>6126</v>
      </c>
      <c r="N251" s="1" t="s">
        <v>8173</v>
      </c>
    </row>
    <row r="252" spans="1:14">
      <c r="A252" s="1" t="s">
        <v>991</v>
      </c>
      <c r="B252" s="1" t="s">
        <v>992</v>
      </c>
      <c r="C252" s="1" t="s">
        <v>993</v>
      </c>
      <c r="D252" s="1" t="s">
        <v>1172</v>
      </c>
      <c r="E252" s="1" t="s">
        <v>8881</v>
      </c>
      <c r="F252" s="1" t="s">
        <v>8882</v>
      </c>
      <c r="G252" t="s">
        <v>8883</v>
      </c>
      <c r="H252">
        <v>7019870</v>
      </c>
      <c r="I252" s="1" t="s">
        <v>995</v>
      </c>
      <c r="J252" s="44" t="s">
        <v>996</v>
      </c>
      <c r="K252" s="44" t="s">
        <v>5737</v>
      </c>
      <c r="L252" s="1" t="s">
        <v>5735</v>
      </c>
      <c r="M252" s="1" t="s">
        <v>7067</v>
      </c>
      <c r="N252" s="1" t="s">
        <v>8213</v>
      </c>
    </row>
    <row r="253" spans="1:14">
      <c r="A253" s="1" t="s">
        <v>963</v>
      </c>
      <c r="B253" s="1" t="s">
        <v>964</v>
      </c>
      <c r="C253" s="1" t="s">
        <v>965</v>
      </c>
      <c r="D253" s="1" t="s">
        <v>1176</v>
      </c>
      <c r="E253" s="1" t="s">
        <v>8884</v>
      </c>
      <c r="F253" s="1" t="s">
        <v>8885</v>
      </c>
      <c r="G253" t="s">
        <v>8886</v>
      </c>
      <c r="H253">
        <v>7012519</v>
      </c>
      <c r="I253" s="1" t="s">
        <v>8887</v>
      </c>
      <c r="J253" s="44" t="s">
        <v>8887</v>
      </c>
      <c r="K253" s="44" t="s">
        <v>6277</v>
      </c>
      <c r="L253" s="1" t="s">
        <v>6102</v>
      </c>
      <c r="M253" s="1" t="s">
        <v>7834</v>
      </c>
      <c r="N253" s="1" t="s">
        <v>8483</v>
      </c>
    </row>
    <row r="254" spans="1:14">
      <c r="A254" s="1" t="s">
        <v>985</v>
      </c>
      <c r="B254" s="1" t="s">
        <v>986</v>
      </c>
      <c r="C254" s="1" t="s">
        <v>987</v>
      </c>
      <c r="D254" s="1" t="s">
        <v>1180</v>
      </c>
      <c r="E254" s="1" t="s">
        <v>8888</v>
      </c>
      <c r="F254" s="1" t="s">
        <v>8889</v>
      </c>
      <c r="G254" t="s">
        <v>8890</v>
      </c>
      <c r="H254">
        <v>6727960</v>
      </c>
      <c r="I254" s="1" t="s">
        <v>989</v>
      </c>
      <c r="J254" s="44" t="s">
        <v>990</v>
      </c>
      <c r="K254" s="44" t="s">
        <v>5088</v>
      </c>
      <c r="L254" s="1" t="s">
        <v>7644</v>
      </c>
      <c r="M254" s="1" t="s">
        <v>7605</v>
      </c>
      <c r="N254" s="1" t="s">
        <v>8171</v>
      </c>
    </row>
    <row r="255" spans="1:14">
      <c r="A255" s="1" t="s">
        <v>5011</v>
      </c>
      <c r="B255" s="1" t="s">
        <v>5012</v>
      </c>
      <c r="C255" s="1" t="s">
        <v>5013</v>
      </c>
      <c r="D255" s="1" t="s">
        <v>1184</v>
      </c>
      <c r="E255" s="1" t="s">
        <v>8891</v>
      </c>
      <c r="F255" s="1" t="s">
        <v>8892</v>
      </c>
      <c r="G255" t="s">
        <v>8893</v>
      </c>
      <c r="H255">
        <v>6557296</v>
      </c>
      <c r="I255" s="1" t="s">
        <v>5014</v>
      </c>
      <c r="J255" s="44" t="s">
        <v>54</v>
      </c>
      <c r="K255" s="44" t="s">
        <v>6228</v>
      </c>
      <c r="L255" s="1" t="s">
        <v>5647</v>
      </c>
      <c r="M255" s="1" t="s">
        <v>8894</v>
      </c>
      <c r="N255" s="1" t="s">
        <v>8140</v>
      </c>
    </row>
    <row r="256" spans="1:14">
      <c r="A256" s="1" t="s">
        <v>5025</v>
      </c>
      <c r="B256" s="1" t="s">
        <v>5026</v>
      </c>
      <c r="C256" s="1" t="s">
        <v>5027</v>
      </c>
      <c r="D256" s="1" t="s">
        <v>1188</v>
      </c>
      <c r="E256" s="1" t="s">
        <v>8895</v>
      </c>
      <c r="F256" s="1" t="s">
        <v>8896</v>
      </c>
      <c r="G256" t="s">
        <v>8897</v>
      </c>
      <c r="H256">
        <v>6425580</v>
      </c>
      <c r="I256" s="1" t="s">
        <v>5216</v>
      </c>
      <c r="J256" s="44" t="s">
        <v>5028</v>
      </c>
      <c r="K256" s="44" t="s">
        <v>6141</v>
      </c>
      <c r="L256" s="1" t="s">
        <v>8898</v>
      </c>
      <c r="M256" s="1" t="s">
        <v>8899</v>
      </c>
      <c r="N256" s="1" t="s">
        <v>8213</v>
      </c>
    </row>
    <row r="257" spans="1:14">
      <c r="A257" s="1" t="s">
        <v>1303</v>
      </c>
      <c r="B257" s="1" t="s">
        <v>1304</v>
      </c>
      <c r="C257" s="1" t="s">
        <v>1305</v>
      </c>
      <c r="D257" s="1" t="s">
        <v>1192</v>
      </c>
      <c r="E257" s="1" t="s">
        <v>8900</v>
      </c>
      <c r="F257" s="1" t="s">
        <v>7060</v>
      </c>
      <c r="G257" t="s">
        <v>8901</v>
      </c>
      <c r="H257">
        <v>6399395</v>
      </c>
      <c r="I257" s="1" t="s">
        <v>1307</v>
      </c>
      <c r="J257" s="44" t="s">
        <v>361</v>
      </c>
      <c r="K257" s="44" t="s">
        <v>6056</v>
      </c>
      <c r="L257" s="1" t="s">
        <v>6027</v>
      </c>
      <c r="M257" s="1" t="s">
        <v>7679</v>
      </c>
      <c r="N257" s="1" t="s">
        <v>8133</v>
      </c>
    </row>
    <row r="258" spans="1:14">
      <c r="A258" s="1" t="s">
        <v>1266</v>
      </c>
      <c r="B258" s="1" t="s">
        <v>1267</v>
      </c>
      <c r="C258" s="1" t="s">
        <v>1268</v>
      </c>
      <c r="D258" s="1" t="s">
        <v>1196</v>
      </c>
      <c r="E258" s="1" t="s">
        <v>8902</v>
      </c>
      <c r="F258" s="1" t="s">
        <v>8903</v>
      </c>
      <c r="G258" t="s">
        <v>8904</v>
      </c>
      <c r="H258">
        <v>6242653</v>
      </c>
      <c r="I258" s="1" t="s">
        <v>8905</v>
      </c>
      <c r="J258" s="44" t="s">
        <v>8905</v>
      </c>
      <c r="K258" s="44" t="s">
        <v>6123</v>
      </c>
      <c r="L258" s="1" t="s">
        <v>6163</v>
      </c>
      <c r="M258" s="1" t="s">
        <v>8906</v>
      </c>
      <c r="N258" s="1" t="s">
        <v>8162</v>
      </c>
    </row>
    <row r="259" spans="1:14">
      <c r="A259" s="1" t="s">
        <v>1226</v>
      </c>
      <c r="B259" s="1" t="s">
        <v>1227</v>
      </c>
      <c r="C259" s="1" t="s">
        <v>1228</v>
      </c>
      <c r="D259" s="1" t="s">
        <v>1197</v>
      </c>
      <c r="E259" s="1" t="s">
        <v>8907</v>
      </c>
      <c r="F259" s="1" t="s">
        <v>7600</v>
      </c>
      <c r="G259" t="s">
        <v>8908</v>
      </c>
      <c r="H259">
        <v>6219283</v>
      </c>
      <c r="I259" s="1" t="s">
        <v>8909</v>
      </c>
      <c r="J259" s="44" t="s">
        <v>8909</v>
      </c>
      <c r="K259" s="44" t="s">
        <v>5569</v>
      </c>
      <c r="L259" s="1" t="s">
        <v>5916</v>
      </c>
      <c r="M259" s="1" t="s">
        <v>7213</v>
      </c>
      <c r="N259" s="1" t="s">
        <v>8090</v>
      </c>
    </row>
    <row r="260" spans="1:14">
      <c r="A260" s="1" t="s">
        <v>1455</v>
      </c>
      <c r="B260" s="1" t="s">
        <v>1456</v>
      </c>
      <c r="C260" s="1" t="s">
        <v>1457</v>
      </c>
      <c r="D260" s="1" t="s">
        <v>1202</v>
      </c>
      <c r="E260" s="1" t="s">
        <v>8910</v>
      </c>
      <c r="F260" s="1" t="s">
        <v>8911</v>
      </c>
      <c r="G260" t="s">
        <v>8912</v>
      </c>
      <c r="H260">
        <v>6128100</v>
      </c>
      <c r="I260" s="1" t="s">
        <v>8913</v>
      </c>
      <c r="J260" s="44" t="s">
        <v>8914</v>
      </c>
      <c r="K260" s="44" t="s">
        <v>5122</v>
      </c>
      <c r="L260" s="1" t="s">
        <v>8915</v>
      </c>
      <c r="M260" s="1" t="s">
        <v>7355</v>
      </c>
      <c r="N260" s="1" t="s">
        <v>8396</v>
      </c>
    </row>
    <row r="261" spans="1:14">
      <c r="A261" s="1" t="s">
        <v>1104</v>
      </c>
      <c r="B261" s="1" t="s">
        <v>1105</v>
      </c>
      <c r="C261" s="1" t="s">
        <v>1106</v>
      </c>
      <c r="D261" s="1" t="s">
        <v>1208</v>
      </c>
      <c r="E261" s="1" t="s">
        <v>8916</v>
      </c>
      <c r="F261" s="1" t="s">
        <v>5099</v>
      </c>
      <c r="G261" t="s">
        <v>8917</v>
      </c>
      <c r="H261">
        <v>6126386</v>
      </c>
      <c r="I261" s="1" t="s">
        <v>8918</v>
      </c>
      <c r="J261" s="44" t="s">
        <v>8918</v>
      </c>
      <c r="K261" s="44" t="s">
        <v>5871</v>
      </c>
      <c r="L261" s="1" t="s">
        <v>5488</v>
      </c>
      <c r="M261" s="1" t="s">
        <v>6073</v>
      </c>
      <c r="N261" s="1" t="s">
        <v>8152</v>
      </c>
    </row>
    <row r="262" spans="1:14">
      <c r="A262" s="1" t="s">
        <v>1412</v>
      </c>
      <c r="B262" s="1" t="s">
        <v>1413</v>
      </c>
      <c r="C262" s="1" t="s">
        <v>1414</v>
      </c>
      <c r="D262" s="1" t="s">
        <v>1212</v>
      </c>
      <c r="E262" s="1" t="s">
        <v>8919</v>
      </c>
      <c r="F262" s="1" t="s">
        <v>7954</v>
      </c>
      <c r="G262" t="s">
        <v>8920</v>
      </c>
      <c r="H262">
        <v>6099233</v>
      </c>
      <c r="I262" s="1" t="s">
        <v>8921</v>
      </c>
      <c r="J262" s="44" t="s">
        <v>8921</v>
      </c>
      <c r="K262" s="44" t="s">
        <v>7384</v>
      </c>
      <c r="L262" s="1" t="s">
        <v>7822</v>
      </c>
      <c r="M262" s="1" t="s">
        <v>8795</v>
      </c>
      <c r="N262" s="1" t="s">
        <v>8107</v>
      </c>
    </row>
    <row r="263" spans="1:14">
      <c r="A263" s="1" t="s">
        <v>1199</v>
      </c>
      <c r="B263" s="1" t="s">
        <v>1200</v>
      </c>
      <c r="C263" s="1" t="s">
        <v>1201</v>
      </c>
      <c r="D263" s="1" t="s">
        <v>1217</v>
      </c>
      <c r="E263" s="1" t="s">
        <v>8922</v>
      </c>
      <c r="F263" s="1" t="s">
        <v>3168</v>
      </c>
      <c r="G263" t="s">
        <v>8923</v>
      </c>
      <c r="H263">
        <v>6058757</v>
      </c>
      <c r="I263" s="1" t="s">
        <v>5231</v>
      </c>
      <c r="J263" s="44" t="s">
        <v>1204</v>
      </c>
      <c r="K263" s="44" t="s">
        <v>5373</v>
      </c>
      <c r="L263" s="1" t="s">
        <v>6999</v>
      </c>
      <c r="M263" s="1" t="s">
        <v>8924</v>
      </c>
      <c r="N263" s="1" t="s">
        <v>8171</v>
      </c>
    </row>
    <row r="264" spans="1:14">
      <c r="A264" s="1" t="s">
        <v>2093</v>
      </c>
      <c r="B264" s="1" t="s">
        <v>2094</v>
      </c>
      <c r="C264" s="1" t="s">
        <v>2095</v>
      </c>
      <c r="D264" s="1" t="s">
        <v>1223</v>
      </c>
      <c r="E264" s="1" t="s">
        <v>8925</v>
      </c>
      <c r="F264" s="1" t="s">
        <v>7689</v>
      </c>
      <c r="G264" t="s">
        <v>8926</v>
      </c>
      <c r="H264">
        <v>6053457</v>
      </c>
      <c r="I264" s="1" t="s">
        <v>8927</v>
      </c>
      <c r="J264" s="44" t="s">
        <v>8928</v>
      </c>
      <c r="K264" s="44" t="s">
        <v>6570</v>
      </c>
      <c r="L264" s="1" t="s">
        <v>5736</v>
      </c>
      <c r="M264" s="1" t="s">
        <v>8929</v>
      </c>
      <c r="N264" s="1" t="s">
        <v>8162</v>
      </c>
    </row>
    <row r="265" spans="1:14">
      <c r="A265" s="1" t="s">
        <v>1021</v>
      </c>
      <c r="B265" s="1" t="s">
        <v>1022</v>
      </c>
      <c r="C265" s="1" t="s">
        <v>1023</v>
      </c>
      <c r="D265" s="1" t="s">
        <v>1229</v>
      </c>
      <c r="E265" s="1" t="s">
        <v>8930</v>
      </c>
      <c r="F265" s="1" t="s">
        <v>7269</v>
      </c>
      <c r="G265" t="s">
        <v>8931</v>
      </c>
      <c r="H265">
        <v>5966225</v>
      </c>
      <c r="I265" s="1" t="s">
        <v>8932</v>
      </c>
      <c r="J265" s="44" t="s">
        <v>8932</v>
      </c>
      <c r="K265" s="44" t="s">
        <v>5523</v>
      </c>
      <c r="L265" s="1" t="s">
        <v>6154</v>
      </c>
      <c r="M265" s="1" t="s">
        <v>7964</v>
      </c>
      <c r="N265" s="1" t="s">
        <v>8107</v>
      </c>
    </row>
    <row r="266" spans="1:14">
      <c r="A266" s="1" t="s">
        <v>954</v>
      </c>
      <c r="B266" s="1" t="s">
        <v>955</v>
      </c>
      <c r="C266" s="1" t="s">
        <v>956</v>
      </c>
      <c r="D266" s="1" t="s">
        <v>1233</v>
      </c>
      <c r="E266" s="1" t="s">
        <v>8933</v>
      </c>
      <c r="F266" s="1" t="s">
        <v>8934</v>
      </c>
      <c r="G266" t="s">
        <v>8935</v>
      </c>
      <c r="H266">
        <v>5964698</v>
      </c>
      <c r="I266" s="1" t="s">
        <v>958</v>
      </c>
      <c r="J266" s="44" t="s">
        <v>958</v>
      </c>
      <c r="K266" s="44" t="s">
        <v>5120</v>
      </c>
      <c r="L266" s="1" t="s">
        <v>5844</v>
      </c>
      <c r="M266" s="1" t="s">
        <v>8936</v>
      </c>
      <c r="N266" s="1" t="s">
        <v>8263</v>
      </c>
    </row>
    <row r="267" spans="1:14">
      <c r="A267" s="1" t="s">
        <v>1394</v>
      </c>
      <c r="B267" s="1" t="s">
        <v>1395</v>
      </c>
      <c r="C267" s="1" t="s">
        <v>1396</v>
      </c>
      <c r="D267" s="1" t="s">
        <v>1238</v>
      </c>
      <c r="E267" s="1" t="s">
        <v>8937</v>
      </c>
      <c r="F267" s="1" t="s">
        <v>7807</v>
      </c>
      <c r="G267" t="s">
        <v>8938</v>
      </c>
      <c r="H267">
        <v>5921760</v>
      </c>
      <c r="I267" s="1" t="s">
        <v>1286</v>
      </c>
      <c r="J267" s="44" t="s">
        <v>1286</v>
      </c>
      <c r="K267" s="44" t="s">
        <v>5083</v>
      </c>
      <c r="L267" s="1" t="s">
        <v>5809</v>
      </c>
      <c r="M267" s="1" t="s">
        <v>7921</v>
      </c>
      <c r="N267" s="1" t="s">
        <v>8112</v>
      </c>
    </row>
    <row r="268" spans="1:14">
      <c r="A268" s="1" t="s">
        <v>1061</v>
      </c>
      <c r="B268" s="1" t="s">
        <v>1062</v>
      </c>
      <c r="C268" s="1" t="s">
        <v>1063</v>
      </c>
      <c r="D268" s="1" t="s">
        <v>1243</v>
      </c>
      <c r="E268" s="1" t="s">
        <v>8939</v>
      </c>
      <c r="F268" s="1" t="s">
        <v>8940</v>
      </c>
      <c r="G268" t="s">
        <v>8941</v>
      </c>
      <c r="H268">
        <v>5910627</v>
      </c>
      <c r="I268" s="1" t="s">
        <v>5895</v>
      </c>
      <c r="J268" s="44" t="s">
        <v>5895</v>
      </c>
      <c r="K268" s="44" t="s">
        <v>5848</v>
      </c>
      <c r="L268" s="1" t="s">
        <v>6219</v>
      </c>
      <c r="M268" s="1" t="s">
        <v>7737</v>
      </c>
      <c r="N268" s="1" t="s">
        <v>8190</v>
      </c>
    </row>
    <row r="269" spans="1:14">
      <c r="A269" s="1" t="s">
        <v>1086</v>
      </c>
      <c r="B269" s="1" t="s">
        <v>1087</v>
      </c>
      <c r="C269" s="1" t="s">
        <v>1088</v>
      </c>
      <c r="D269" s="1" t="s">
        <v>1247</v>
      </c>
      <c r="E269" s="1" t="s">
        <v>8942</v>
      </c>
      <c r="F269" s="1" t="s">
        <v>8943</v>
      </c>
      <c r="G269" t="s">
        <v>8944</v>
      </c>
      <c r="H269">
        <v>5902314</v>
      </c>
      <c r="I269" s="1" t="s">
        <v>1090</v>
      </c>
      <c r="J269" s="44" t="s">
        <v>138</v>
      </c>
      <c r="K269" s="44" t="s">
        <v>7687</v>
      </c>
      <c r="L269" s="1" t="s">
        <v>7556</v>
      </c>
      <c r="M269" s="1" t="s">
        <v>7018</v>
      </c>
      <c r="N269" s="1" t="s">
        <v>8152</v>
      </c>
    </row>
    <row r="270" spans="1:14">
      <c r="A270" s="1" t="s">
        <v>1149</v>
      </c>
      <c r="B270" s="1" t="s">
        <v>1150</v>
      </c>
      <c r="C270" s="1" t="s">
        <v>1151</v>
      </c>
      <c r="D270" s="1" t="s">
        <v>1251</v>
      </c>
      <c r="E270" s="1" t="s">
        <v>8945</v>
      </c>
      <c r="F270" s="1" t="s">
        <v>7955</v>
      </c>
      <c r="G270" t="s">
        <v>8946</v>
      </c>
      <c r="H270">
        <v>5833343</v>
      </c>
      <c r="I270" s="1" t="s">
        <v>1153</v>
      </c>
      <c r="J270" s="44" t="s">
        <v>1153</v>
      </c>
      <c r="K270" s="44" t="s">
        <v>6193</v>
      </c>
      <c r="L270" s="1" t="s">
        <v>5397</v>
      </c>
      <c r="M270" s="1" t="s">
        <v>7170</v>
      </c>
      <c r="N270" s="1" t="s">
        <v>8085</v>
      </c>
    </row>
    <row r="271" spans="1:14">
      <c r="A271" s="1" t="s">
        <v>1065</v>
      </c>
      <c r="B271" s="1" t="s">
        <v>1066</v>
      </c>
      <c r="C271" s="1" t="s">
        <v>1067</v>
      </c>
      <c r="D271" s="1" t="s">
        <v>1255</v>
      </c>
      <c r="E271" s="1" t="s">
        <v>8947</v>
      </c>
      <c r="F271" s="1" t="s">
        <v>7068</v>
      </c>
      <c r="G271" t="s">
        <v>8948</v>
      </c>
      <c r="H271">
        <v>5731900</v>
      </c>
      <c r="I271" s="1" t="s">
        <v>53</v>
      </c>
      <c r="J271" s="44" t="s">
        <v>53</v>
      </c>
      <c r="K271" s="44" t="s">
        <v>7044</v>
      </c>
      <c r="L271" s="1" t="s">
        <v>7029</v>
      </c>
      <c r="M271" s="1" t="s">
        <v>6199</v>
      </c>
      <c r="N271" s="1" t="s">
        <v>8137</v>
      </c>
    </row>
    <row r="272" spans="1:14">
      <c r="A272" s="1" t="s">
        <v>1628</v>
      </c>
      <c r="B272" s="1" t="s">
        <v>1629</v>
      </c>
      <c r="C272" s="1" t="s">
        <v>1630</v>
      </c>
      <c r="D272" s="1" t="s">
        <v>1260</v>
      </c>
      <c r="E272" s="1" t="s">
        <v>8949</v>
      </c>
      <c r="F272" s="1" t="s">
        <v>6706</v>
      </c>
      <c r="G272" t="s">
        <v>8950</v>
      </c>
      <c r="H272">
        <v>5725464</v>
      </c>
      <c r="I272" s="1" t="s">
        <v>4924</v>
      </c>
      <c r="J272" s="44" t="s">
        <v>4925</v>
      </c>
      <c r="K272" s="44" t="s">
        <v>5049</v>
      </c>
      <c r="L272" s="1" t="s">
        <v>5640</v>
      </c>
      <c r="M272" s="1" t="s">
        <v>8951</v>
      </c>
      <c r="N272" s="1" t="s">
        <v>8162</v>
      </c>
    </row>
    <row r="273" spans="1:14">
      <c r="A273" s="1" t="s">
        <v>1144</v>
      </c>
      <c r="B273" s="1" t="s">
        <v>1145</v>
      </c>
      <c r="C273" s="1" t="s">
        <v>1146</v>
      </c>
      <c r="D273" s="1" t="s">
        <v>1265</v>
      </c>
      <c r="E273" s="1" t="s">
        <v>8952</v>
      </c>
      <c r="F273" s="1" t="s">
        <v>5925</v>
      </c>
      <c r="G273" t="s">
        <v>8953</v>
      </c>
      <c r="H273">
        <v>5655910</v>
      </c>
      <c r="I273" s="1" t="s">
        <v>1148</v>
      </c>
      <c r="J273" s="44" t="s">
        <v>1148</v>
      </c>
      <c r="K273" s="44" t="s">
        <v>5400</v>
      </c>
      <c r="L273" s="1" t="s">
        <v>5130</v>
      </c>
      <c r="M273" s="1" t="s">
        <v>7265</v>
      </c>
      <c r="N273" s="1" t="s">
        <v>8173</v>
      </c>
    </row>
    <row r="274" spans="1:14">
      <c r="A274" s="1" t="s">
        <v>1164</v>
      </c>
      <c r="B274" s="1" t="s">
        <v>1165</v>
      </c>
      <c r="C274" s="1" t="s">
        <v>1166</v>
      </c>
      <c r="D274" s="1" t="s">
        <v>1269</v>
      </c>
      <c r="E274" s="1" t="s">
        <v>8954</v>
      </c>
      <c r="F274" s="1" t="s">
        <v>7070</v>
      </c>
      <c r="G274" t="s">
        <v>8955</v>
      </c>
      <c r="H274">
        <v>5556698</v>
      </c>
      <c r="I274" s="1" t="s">
        <v>6202</v>
      </c>
      <c r="J274" s="44" t="s">
        <v>1168</v>
      </c>
      <c r="K274" s="44" t="s">
        <v>5619</v>
      </c>
      <c r="L274" s="1" t="s">
        <v>6595</v>
      </c>
      <c r="M274" s="1" t="s">
        <v>7891</v>
      </c>
      <c r="N274" s="1" t="s">
        <v>8070</v>
      </c>
    </row>
    <row r="275" spans="1:14">
      <c r="A275" s="1" t="s">
        <v>5200</v>
      </c>
      <c r="B275" s="1" t="s">
        <v>5201</v>
      </c>
      <c r="C275" s="1" t="s">
        <v>5201</v>
      </c>
      <c r="D275" s="1" t="s">
        <v>1273</v>
      </c>
      <c r="E275" s="1" t="s">
        <v>8956</v>
      </c>
      <c r="F275" s="1" t="s">
        <v>8957</v>
      </c>
      <c r="G275" t="s">
        <v>8958</v>
      </c>
      <c r="H275">
        <v>5554631</v>
      </c>
      <c r="I275" s="1" t="s">
        <v>8959</v>
      </c>
      <c r="J275" s="44" t="s">
        <v>2985</v>
      </c>
      <c r="K275" s="44" t="s">
        <v>6252</v>
      </c>
      <c r="L275" s="1" t="s">
        <v>8960</v>
      </c>
      <c r="M275" s="1" t="s">
        <v>8961</v>
      </c>
      <c r="N275" s="1" t="s">
        <v>8140</v>
      </c>
    </row>
    <row r="276" spans="1:14">
      <c r="A276" s="1" t="s">
        <v>1125</v>
      </c>
      <c r="B276" s="1" t="s">
        <v>5605</v>
      </c>
      <c r="C276" s="1" t="s">
        <v>1126</v>
      </c>
      <c r="D276" s="1" t="s">
        <v>1277</v>
      </c>
      <c r="E276" s="1" t="s">
        <v>8962</v>
      </c>
      <c r="F276" s="1" t="s">
        <v>6666</v>
      </c>
      <c r="G276" t="s">
        <v>8963</v>
      </c>
      <c r="H276">
        <v>5547302</v>
      </c>
      <c r="I276" s="1" t="s">
        <v>1128</v>
      </c>
      <c r="J276" s="44" t="s">
        <v>1129</v>
      </c>
      <c r="K276" s="44" t="s">
        <v>5067</v>
      </c>
      <c r="L276" s="1" t="s">
        <v>8964</v>
      </c>
      <c r="M276" s="1" t="s">
        <v>7071</v>
      </c>
      <c r="N276" s="1" t="s">
        <v>8102</v>
      </c>
    </row>
    <row r="277" spans="1:14">
      <c r="A277" s="1" t="s">
        <v>1098</v>
      </c>
      <c r="B277" s="1" t="s">
        <v>1099</v>
      </c>
      <c r="C277" s="1" t="s">
        <v>1100</v>
      </c>
      <c r="D277" s="1" t="s">
        <v>1281</v>
      </c>
      <c r="E277" s="1" t="s">
        <v>8965</v>
      </c>
      <c r="F277" s="1" t="s">
        <v>6707</v>
      </c>
      <c r="G277" t="s">
        <v>8966</v>
      </c>
      <c r="H277">
        <v>5504035</v>
      </c>
      <c r="I277" s="1" t="s">
        <v>1102</v>
      </c>
      <c r="J277" s="44" t="s">
        <v>1103</v>
      </c>
      <c r="K277" s="44" t="s">
        <v>5</v>
      </c>
      <c r="L277" s="1" t="s">
        <v>6185</v>
      </c>
      <c r="M277" s="1" t="s">
        <v>6994</v>
      </c>
      <c r="N277" s="1" t="s">
        <v>8396</v>
      </c>
    </row>
    <row r="278" spans="1:14">
      <c r="A278" s="1" t="s">
        <v>1364</v>
      </c>
      <c r="B278" s="1" t="s">
        <v>1365</v>
      </c>
      <c r="C278" s="1" t="s">
        <v>1366</v>
      </c>
      <c r="D278" s="1" t="s">
        <v>1285</v>
      </c>
      <c r="E278" s="1" t="s">
        <v>8967</v>
      </c>
      <c r="F278" s="1" t="s">
        <v>7808</v>
      </c>
      <c r="G278" t="s">
        <v>8968</v>
      </c>
      <c r="H278">
        <v>5478525</v>
      </c>
      <c r="I278" s="1" t="s">
        <v>8969</v>
      </c>
      <c r="J278" s="44" t="s">
        <v>8970</v>
      </c>
      <c r="K278" s="44" t="s">
        <v>7199</v>
      </c>
      <c r="L278" s="1" t="s">
        <v>8971</v>
      </c>
      <c r="M278" s="1" t="s">
        <v>7732</v>
      </c>
      <c r="N278" s="1" t="s">
        <v>8186</v>
      </c>
    </row>
    <row r="279" spans="1:14">
      <c r="A279" s="1" t="s">
        <v>865</v>
      </c>
      <c r="B279" s="1" t="s">
        <v>866</v>
      </c>
      <c r="C279" s="1" t="s">
        <v>867</v>
      </c>
      <c r="D279" s="1" t="s">
        <v>1290</v>
      </c>
      <c r="E279" s="1" t="s">
        <v>8972</v>
      </c>
      <c r="F279" s="1" t="s">
        <v>1261</v>
      </c>
      <c r="G279" t="s">
        <v>8973</v>
      </c>
      <c r="H279">
        <v>5471450</v>
      </c>
      <c r="I279" s="1" t="s">
        <v>5094</v>
      </c>
      <c r="J279" s="44" t="s">
        <v>5094</v>
      </c>
      <c r="K279" s="44" t="s">
        <v>5001</v>
      </c>
      <c r="L279" s="1" t="s">
        <v>7597</v>
      </c>
      <c r="M279" s="1" t="s">
        <v>7736</v>
      </c>
      <c r="N279" s="1" t="s">
        <v>8085</v>
      </c>
    </row>
    <row r="280" spans="1:14">
      <c r="A280" s="1" t="s">
        <v>1160</v>
      </c>
      <c r="B280" s="1" t="s">
        <v>1161</v>
      </c>
      <c r="C280" s="1" t="s">
        <v>1162</v>
      </c>
      <c r="D280" s="1" t="s">
        <v>1294</v>
      </c>
      <c r="E280" s="1" t="s">
        <v>8974</v>
      </c>
      <c r="F280" s="1" t="s">
        <v>8975</v>
      </c>
      <c r="G280" t="s">
        <v>8976</v>
      </c>
      <c r="H280">
        <v>5419773</v>
      </c>
      <c r="I280" s="1" t="s">
        <v>8977</v>
      </c>
      <c r="J280" s="44" t="s">
        <v>8977</v>
      </c>
      <c r="K280" s="44" t="s">
        <v>7096</v>
      </c>
      <c r="L280" s="1" t="s">
        <v>1081</v>
      </c>
      <c r="M280" s="1" t="s">
        <v>7628</v>
      </c>
      <c r="N280" s="1" t="s">
        <v>8173</v>
      </c>
    </row>
    <row r="281" spans="1:14">
      <c r="A281" s="1" t="s">
        <v>1154</v>
      </c>
      <c r="B281" s="1" t="s">
        <v>1155</v>
      </c>
      <c r="C281" s="1" t="s">
        <v>1156</v>
      </c>
      <c r="D281" s="1" t="s">
        <v>1298</v>
      </c>
      <c r="E281" s="1" t="s">
        <v>8978</v>
      </c>
      <c r="F281" s="1" t="s">
        <v>1158</v>
      </c>
      <c r="G281" t="s">
        <v>8979</v>
      </c>
      <c r="H281">
        <v>5339871</v>
      </c>
      <c r="I281" s="1" t="s">
        <v>1159</v>
      </c>
      <c r="J281" s="44" t="s">
        <v>1159</v>
      </c>
      <c r="K281" s="44" t="s">
        <v>7756</v>
      </c>
      <c r="L281" s="1" t="s">
        <v>7217</v>
      </c>
      <c r="M281" s="1" t="s">
        <v>7586</v>
      </c>
      <c r="N281" s="1" t="s">
        <v>8090</v>
      </c>
    </row>
    <row r="282" spans="1:14">
      <c r="A282" s="1" t="s">
        <v>1049</v>
      </c>
      <c r="B282" s="1" t="s">
        <v>1050</v>
      </c>
      <c r="C282" s="1" t="s">
        <v>1051</v>
      </c>
      <c r="D282" s="1" t="s">
        <v>1302</v>
      </c>
      <c r="E282" s="1" t="s">
        <v>8980</v>
      </c>
      <c r="F282" s="1" t="s">
        <v>7956</v>
      </c>
      <c r="G282" t="s">
        <v>8981</v>
      </c>
      <c r="H282">
        <v>5217103</v>
      </c>
      <c r="I282" s="1" t="s">
        <v>7519</v>
      </c>
      <c r="J282" s="44" t="s">
        <v>7519</v>
      </c>
      <c r="K282" s="44" t="s">
        <v>5535</v>
      </c>
      <c r="L282" s="1" t="s">
        <v>7385</v>
      </c>
      <c r="M282" s="1" t="s">
        <v>7223</v>
      </c>
      <c r="N282" s="1" t="s">
        <v>8107</v>
      </c>
    </row>
    <row r="283" spans="1:14">
      <c r="A283" s="1" t="s">
        <v>1134</v>
      </c>
      <c r="B283" s="1" t="s">
        <v>1135</v>
      </c>
      <c r="C283" s="1" t="s">
        <v>1136</v>
      </c>
      <c r="D283" s="1" t="s">
        <v>1306</v>
      </c>
      <c r="E283" s="1" t="s">
        <v>8982</v>
      </c>
      <c r="F283" s="1" t="s">
        <v>7358</v>
      </c>
      <c r="G283" t="s">
        <v>8983</v>
      </c>
      <c r="H283">
        <v>5202167</v>
      </c>
      <c r="I283" s="1" t="s">
        <v>5215</v>
      </c>
      <c r="J283" s="44" t="s">
        <v>1138</v>
      </c>
      <c r="K283" s="44" t="s">
        <v>7220</v>
      </c>
      <c r="L283" s="1" t="s">
        <v>6560</v>
      </c>
      <c r="M283" s="1" t="s">
        <v>5748</v>
      </c>
      <c r="N283" s="1" t="s">
        <v>8213</v>
      </c>
    </row>
    <row r="284" spans="1:14">
      <c r="A284" s="1" t="s">
        <v>1173</v>
      </c>
      <c r="B284" s="1" t="s">
        <v>1174</v>
      </c>
      <c r="C284" s="1" t="s">
        <v>1175</v>
      </c>
      <c r="D284" s="1" t="s">
        <v>1311</v>
      </c>
      <c r="E284" s="1" t="s">
        <v>8984</v>
      </c>
      <c r="F284" s="1" t="s">
        <v>7809</v>
      </c>
      <c r="G284" t="s">
        <v>8985</v>
      </c>
      <c r="H284">
        <v>5198631</v>
      </c>
      <c r="I284" s="1" t="s">
        <v>8986</v>
      </c>
      <c r="J284" s="44" t="s">
        <v>8986</v>
      </c>
      <c r="K284" s="44" t="s">
        <v>6193</v>
      </c>
      <c r="L284" s="1" t="s">
        <v>5915</v>
      </c>
      <c r="M284" s="1" t="s">
        <v>7208</v>
      </c>
      <c r="N284" s="1" t="s">
        <v>8173</v>
      </c>
    </row>
    <row r="285" spans="1:14">
      <c r="A285" s="1" t="s">
        <v>1235</v>
      </c>
      <c r="B285" s="1" t="s">
        <v>1236</v>
      </c>
      <c r="C285" s="1" t="s">
        <v>1237</v>
      </c>
      <c r="D285" s="1" t="s">
        <v>1316</v>
      </c>
      <c r="E285" s="1" t="s">
        <v>8987</v>
      </c>
      <c r="F285" s="1" t="s">
        <v>7810</v>
      </c>
      <c r="G285" t="s">
        <v>8988</v>
      </c>
      <c r="H285">
        <v>5162701</v>
      </c>
      <c r="I285" s="1" t="s">
        <v>5107</v>
      </c>
      <c r="J285" s="44" t="s">
        <v>1239</v>
      </c>
      <c r="K285" s="44" t="s">
        <v>5399</v>
      </c>
      <c r="L285" s="1" t="s">
        <v>8989</v>
      </c>
      <c r="M285" s="1" t="s">
        <v>8990</v>
      </c>
      <c r="N285" s="1" t="s">
        <v>8080</v>
      </c>
    </row>
    <row r="286" spans="1:14">
      <c r="A286" s="1" t="s">
        <v>1121</v>
      </c>
      <c r="B286" s="1" t="s">
        <v>1122</v>
      </c>
      <c r="C286" s="1" t="s">
        <v>1123</v>
      </c>
      <c r="D286" s="1" t="s">
        <v>1320</v>
      </c>
      <c r="E286" s="1" t="s">
        <v>8991</v>
      </c>
      <c r="F286" s="1" t="s">
        <v>6708</v>
      </c>
      <c r="G286" t="s">
        <v>8992</v>
      </c>
      <c r="H286">
        <v>5136276</v>
      </c>
      <c r="I286" s="1" t="s">
        <v>8993</v>
      </c>
      <c r="J286" s="44" t="s">
        <v>8993</v>
      </c>
      <c r="K286" s="44" t="s">
        <v>5672</v>
      </c>
      <c r="L286" s="1" t="s">
        <v>5065</v>
      </c>
      <c r="M286" s="1" t="s">
        <v>8994</v>
      </c>
      <c r="N286" s="1" t="s">
        <v>8107</v>
      </c>
    </row>
    <row r="287" spans="1:14">
      <c r="A287" s="1" t="s">
        <v>1244</v>
      </c>
      <c r="B287" s="1" t="s">
        <v>1245</v>
      </c>
      <c r="C287" s="1" t="s">
        <v>1246</v>
      </c>
      <c r="D287" s="1" t="s">
        <v>1325</v>
      </c>
      <c r="E287" s="1" t="s">
        <v>8995</v>
      </c>
      <c r="F287" s="1" t="s">
        <v>8046</v>
      </c>
      <c r="G287" t="s">
        <v>8996</v>
      </c>
      <c r="H287">
        <v>5115630</v>
      </c>
      <c r="I287" s="1" t="s">
        <v>6203</v>
      </c>
      <c r="J287" s="44" t="s">
        <v>6203</v>
      </c>
      <c r="K287" s="44" t="s">
        <v>5865</v>
      </c>
      <c r="L287" s="1" t="s">
        <v>7664</v>
      </c>
      <c r="M287" s="1" t="s">
        <v>7099</v>
      </c>
      <c r="N287" s="1" t="s">
        <v>8137</v>
      </c>
    </row>
    <row r="288" spans="1:14">
      <c r="A288" s="1" t="s">
        <v>1030</v>
      </c>
      <c r="B288" s="1" t="s">
        <v>1031</v>
      </c>
      <c r="C288" s="1" t="s">
        <v>1032</v>
      </c>
      <c r="D288" s="1" t="s">
        <v>1329</v>
      </c>
      <c r="E288" s="1" t="s">
        <v>8997</v>
      </c>
      <c r="F288" s="1" t="s">
        <v>754</v>
      </c>
      <c r="G288" t="s">
        <v>8998</v>
      </c>
      <c r="H288">
        <v>5113058</v>
      </c>
      <c r="I288" s="1" t="s">
        <v>8999</v>
      </c>
      <c r="J288" s="44" t="s">
        <v>9000</v>
      </c>
      <c r="K288" s="44" t="s">
        <v>7292</v>
      </c>
      <c r="L288" s="1" t="s">
        <v>7036</v>
      </c>
      <c r="M288" s="1" t="s">
        <v>6395</v>
      </c>
      <c r="N288" s="1" t="s">
        <v>8080</v>
      </c>
    </row>
    <row r="289" spans="1:14">
      <c r="A289" s="1" t="s">
        <v>980</v>
      </c>
      <c r="B289" s="1" t="s">
        <v>981</v>
      </c>
      <c r="C289" s="1" t="s">
        <v>982</v>
      </c>
      <c r="D289" s="1" t="s">
        <v>1333</v>
      </c>
      <c r="E289" s="1" t="s">
        <v>9001</v>
      </c>
      <c r="F289" s="1" t="s">
        <v>9002</v>
      </c>
      <c r="G289" t="s">
        <v>9003</v>
      </c>
      <c r="H289">
        <v>5066612</v>
      </c>
      <c r="I289" s="1" t="s">
        <v>984</v>
      </c>
      <c r="J289" s="44" t="s">
        <v>984</v>
      </c>
      <c r="K289" s="44" t="s">
        <v>6464</v>
      </c>
      <c r="L289" s="1" t="s">
        <v>7229</v>
      </c>
      <c r="M289" s="1" t="s">
        <v>7749</v>
      </c>
      <c r="N289" s="1" t="s">
        <v>8152</v>
      </c>
    </row>
    <row r="290" spans="1:14">
      <c r="A290" s="1" t="s">
        <v>1205</v>
      </c>
      <c r="B290" s="1" t="s">
        <v>1206</v>
      </c>
      <c r="C290" s="1" t="s">
        <v>1207</v>
      </c>
      <c r="D290" s="1" t="s">
        <v>1337</v>
      </c>
      <c r="E290" s="1" t="s">
        <v>9004</v>
      </c>
      <c r="F290" s="1" t="s">
        <v>9005</v>
      </c>
      <c r="G290" t="s">
        <v>9006</v>
      </c>
      <c r="H290">
        <v>4965191</v>
      </c>
      <c r="I290" s="1" t="s">
        <v>9007</v>
      </c>
      <c r="J290" s="44" t="s">
        <v>9007</v>
      </c>
      <c r="K290" s="44" t="s">
        <v>5686</v>
      </c>
      <c r="L290" s="1" t="s">
        <v>5669</v>
      </c>
      <c r="M290" s="1" t="s">
        <v>8994</v>
      </c>
      <c r="N290" s="1" t="s">
        <v>8085</v>
      </c>
    </row>
    <row r="291" spans="1:14">
      <c r="A291" s="1" t="s">
        <v>1431</v>
      </c>
      <c r="B291" s="1" t="s">
        <v>1432</v>
      </c>
      <c r="C291" s="1" t="s">
        <v>1433</v>
      </c>
      <c r="D291" s="1" t="s">
        <v>1342</v>
      </c>
      <c r="E291" s="1" t="s">
        <v>9008</v>
      </c>
      <c r="F291" s="1" t="s">
        <v>7080</v>
      </c>
      <c r="G291" t="s">
        <v>7812</v>
      </c>
      <c r="H291">
        <v>4963598</v>
      </c>
      <c r="I291" s="1" t="s">
        <v>5552</v>
      </c>
      <c r="J291" s="44" t="s">
        <v>5552</v>
      </c>
      <c r="K291" s="44" t="s">
        <v>5065</v>
      </c>
      <c r="L291" s="1" t="s">
        <v>5682</v>
      </c>
      <c r="M291" s="1" t="s">
        <v>6212</v>
      </c>
      <c r="N291" s="1" t="s">
        <v>8483</v>
      </c>
    </row>
    <row r="292" spans="1:14">
      <c r="A292" s="1" t="s">
        <v>1181</v>
      </c>
      <c r="B292" s="1" t="s">
        <v>1182</v>
      </c>
      <c r="C292" s="1" t="s">
        <v>1183</v>
      </c>
      <c r="D292" s="1" t="s">
        <v>1346</v>
      </c>
      <c r="E292" s="1" t="s">
        <v>9009</v>
      </c>
      <c r="F292" s="1" t="s">
        <v>7813</v>
      </c>
      <c r="G292" t="s">
        <v>9010</v>
      </c>
      <c r="H292">
        <v>4929028</v>
      </c>
      <c r="I292" s="1" t="s">
        <v>9011</v>
      </c>
      <c r="J292" s="44" t="s">
        <v>9011</v>
      </c>
      <c r="K292" s="44" t="s">
        <v>5803</v>
      </c>
      <c r="L292" s="1" t="s">
        <v>5855</v>
      </c>
      <c r="M292" s="1" t="s">
        <v>7249</v>
      </c>
      <c r="N292" s="1" t="s">
        <v>8263</v>
      </c>
    </row>
    <row r="293" spans="1:14">
      <c r="A293" s="1" t="s">
        <v>1278</v>
      </c>
      <c r="B293" s="1" t="s">
        <v>1279</v>
      </c>
      <c r="C293" s="1" t="s">
        <v>1280</v>
      </c>
      <c r="D293" s="1" t="s">
        <v>1350</v>
      </c>
      <c r="E293" s="1" t="s">
        <v>9012</v>
      </c>
      <c r="F293" s="1" t="s">
        <v>7814</v>
      </c>
      <c r="G293" t="s">
        <v>9013</v>
      </c>
      <c r="H293">
        <v>4847343</v>
      </c>
      <c r="I293" s="1" t="s">
        <v>9014</v>
      </c>
      <c r="J293" s="44" t="s">
        <v>9014</v>
      </c>
      <c r="K293" s="44" t="s">
        <v>5002</v>
      </c>
      <c r="L293" s="1" t="s">
        <v>5378</v>
      </c>
      <c r="M293" s="1" t="s">
        <v>6503</v>
      </c>
      <c r="N293" s="1" t="s">
        <v>8173</v>
      </c>
    </row>
    <row r="294" spans="1:14">
      <c r="A294" s="1" t="s">
        <v>1082</v>
      </c>
      <c r="B294" s="1" t="s">
        <v>1083</v>
      </c>
      <c r="C294" s="1" t="s">
        <v>1084</v>
      </c>
      <c r="D294" s="1" t="s">
        <v>1354</v>
      </c>
      <c r="E294" s="1" t="s">
        <v>9015</v>
      </c>
      <c r="F294" s="1" t="s">
        <v>6709</v>
      </c>
      <c r="G294" t="s">
        <v>9016</v>
      </c>
      <c r="H294">
        <v>4841708</v>
      </c>
      <c r="I294" s="1" t="s">
        <v>9017</v>
      </c>
      <c r="J294" s="44" t="s">
        <v>9017</v>
      </c>
      <c r="K294" s="44" t="s">
        <v>4996</v>
      </c>
      <c r="L294" s="1" t="s">
        <v>5130</v>
      </c>
      <c r="M294" s="1" t="s">
        <v>7815</v>
      </c>
      <c r="N294" s="1" t="s">
        <v>8152</v>
      </c>
    </row>
    <row r="295" spans="1:14">
      <c r="A295" s="1" t="s">
        <v>1262</v>
      </c>
      <c r="B295" s="1" t="s">
        <v>1263</v>
      </c>
      <c r="C295" s="1" t="s">
        <v>1264</v>
      </c>
      <c r="D295" s="1" t="s">
        <v>1358</v>
      </c>
      <c r="E295" s="1" t="s">
        <v>9018</v>
      </c>
      <c r="F295" s="1" t="s">
        <v>7366</v>
      </c>
      <c r="G295" t="s">
        <v>9019</v>
      </c>
      <c r="H295">
        <v>4831122</v>
      </c>
      <c r="I295" s="1" t="s">
        <v>9020</v>
      </c>
      <c r="J295" s="44" t="s">
        <v>9020</v>
      </c>
      <c r="K295" s="44" t="s">
        <v>6352</v>
      </c>
      <c r="L295" s="1" t="s">
        <v>5381</v>
      </c>
      <c r="M295" s="1" t="s">
        <v>6401</v>
      </c>
      <c r="N295" s="1" t="s">
        <v>8074</v>
      </c>
    </row>
    <row r="296" spans="1:14">
      <c r="A296" s="1" t="s">
        <v>1091</v>
      </c>
      <c r="B296" s="1" t="s">
        <v>1092</v>
      </c>
      <c r="C296" s="1" t="s">
        <v>1092</v>
      </c>
      <c r="D296" s="1" t="s">
        <v>1362</v>
      </c>
      <c r="E296" s="1" t="s">
        <v>9021</v>
      </c>
      <c r="F296" s="1" t="s">
        <v>7959</v>
      </c>
      <c r="G296" t="s">
        <v>9022</v>
      </c>
      <c r="H296">
        <v>4811481</v>
      </c>
      <c r="I296" s="1" t="s">
        <v>5897</v>
      </c>
      <c r="J296" s="44" t="s">
        <v>5898</v>
      </c>
      <c r="K296" s="44" t="s">
        <v>5794</v>
      </c>
      <c r="L296" s="1" t="s">
        <v>6986</v>
      </c>
      <c r="M296" s="1" t="s">
        <v>9023</v>
      </c>
      <c r="N296" s="1" t="s">
        <v>8186</v>
      </c>
    </row>
    <row r="297" spans="1:14">
      <c r="A297" s="1" t="s">
        <v>1313</v>
      </c>
      <c r="B297" s="1" t="s">
        <v>1314</v>
      </c>
      <c r="C297" s="1" t="s">
        <v>1315</v>
      </c>
      <c r="D297" s="1" t="s">
        <v>1367</v>
      </c>
      <c r="E297" s="1" t="s">
        <v>9024</v>
      </c>
      <c r="F297" s="1" t="s">
        <v>7960</v>
      </c>
      <c r="G297" t="s">
        <v>9025</v>
      </c>
      <c r="H297">
        <v>4689325</v>
      </c>
      <c r="I297" s="1" t="s">
        <v>7520</v>
      </c>
      <c r="J297" s="44" t="s">
        <v>7520</v>
      </c>
      <c r="K297" s="44" t="s">
        <v>5210</v>
      </c>
      <c r="L297" s="1" t="s">
        <v>7263</v>
      </c>
      <c r="M297" s="1" t="s">
        <v>9026</v>
      </c>
      <c r="N297" s="1" t="s">
        <v>8112</v>
      </c>
    </row>
    <row r="298" spans="1:14">
      <c r="A298" s="1" t="s">
        <v>1177</v>
      </c>
      <c r="B298" s="1" t="s">
        <v>1178</v>
      </c>
      <c r="C298" s="1" t="s">
        <v>1179</v>
      </c>
      <c r="D298" s="1" t="s">
        <v>1371</v>
      </c>
      <c r="E298" s="1" t="s">
        <v>9027</v>
      </c>
      <c r="F298" s="1" t="s">
        <v>7961</v>
      </c>
      <c r="G298" t="s">
        <v>9028</v>
      </c>
      <c r="H298">
        <v>4608275</v>
      </c>
      <c r="I298" s="1" t="s">
        <v>5232</v>
      </c>
      <c r="J298" s="44" t="s">
        <v>5232</v>
      </c>
      <c r="K298" s="44" t="s">
        <v>6970</v>
      </c>
      <c r="L298" s="1" t="s">
        <v>5496</v>
      </c>
      <c r="M298" s="1" t="s">
        <v>6075</v>
      </c>
      <c r="N298" s="1" t="s">
        <v>8186</v>
      </c>
    </row>
    <row r="299" spans="1:14">
      <c r="A299" s="1" t="s">
        <v>5276</v>
      </c>
      <c r="B299" s="1" t="s">
        <v>5277</v>
      </c>
      <c r="C299" s="1" t="s">
        <v>5278</v>
      </c>
      <c r="D299" s="1" t="s">
        <v>1376</v>
      </c>
      <c r="E299" s="1" t="s">
        <v>9029</v>
      </c>
      <c r="F299" s="1" t="s">
        <v>9030</v>
      </c>
      <c r="G299" t="s">
        <v>9031</v>
      </c>
      <c r="H299">
        <v>4569329</v>
      </c>
      <c r="I299" s="1" t="s">
        <v>5279</v>
      </c>
      <c r="J299" s="44" t="s">
        <v>5280</v>
      </c>
      <c r="K299" s="44" t="s">
        <v>5774</v>
      </c>
      <c r="L299" s="1" t="s">
        <v>5109</v>
      </c>
      <c r="M299" s="1"/>
      <c r="N299" s="1" t="s">
        <v>8140</v>
      </c>
    </row>
    <row r="300" spans="1:14">
      <c r="A300" s="1" t="s">
        <v>1220</v>
      </c>
      <c r="B300" s="1" t="s">
        <v>1221</v>
      </c>
      <c r="C300" s="1" t="s">
        <v>1222</v>
      </c>
      <c r="D300" s="1" t="s">
        <v>1380</v>
      </c>
      <c r="E300" s="1" t="s">
        <v>9032</v>
      </c>
      <c r="F300" s="1" t="s">
        <v>9033</v>
      </c>
      <c r="G300" t="s">
        <v>9034</v>
      </c>
      <c r="H300">
        <v>4557220</v>
      </c>
      <c r="I300" s="1" t="s">
        <v>1224</v>
      </c>
      <c r="J300" s="44" t="s">
        <v>1225</v>
      </c>
      <c r="K300" s="44" t="s">
        <v>5843</v>
      </c>
      <c r="L300" s="1" t="s">
        <v>6143</v>
      </c>
      <c r="M300" s="1" t="s">
        <v>5927</v>
      </c>
      <c r="N300" s="1" t="s">
        <v>8080</v>
      </c>
    </row>
    <row r="301" spans="1:14">
      <c r="A301" s="1" t="s">
        <v>1094</v>
      </c>
      <c r="B301" s="1" t="s">
        <v>1095</v>
      </c>
      <c r="C301" s="1" t="s">
        <v>1096</v>
      </c>
      <c r="D301" s="1" t="s">
        <v>1384</v>
      </c>
      <c r="E301" s="1" t="s">
        <v>9035</v>
      </c>
      <c r="F301" s="1" t="s">
        <v>7962</v>
      </c>
      <c r="G301" t="s">
        <v>9036</v>
      </c>
      <c r="H301">
        <v>4548164</v>
      </c>
      <c r="I301" s="1" t="s">
        <v>9037</v>
      </c>
      <c r="J301" s="44" t="s">
        <v>9037</v>
      </c>
      <c r="K301" s="44" t="s">
        <v>5861</v>
      </c>
      <c r="L301" s="1" t="s">
        <v>5863</v>
      </c>
      <c r="M301" s="1" t="s">
        <v>7697</v>
      </c>
      <c r="N301" s="1" t="s">
        <v>8065</v>
      </c>
    </row>
    <row r="302" spans="1:14">
      <c r="A302" s="1" t="s">
        <v>1193</v>
      </c>
      <c r="B302" s="1" t="s">
        <v>1194</v>
      </c>
      <c r="C302" s="1" t="s">
        <v>1195</v>
      </c>
      <c r="D302" s="1" t="s">
        <v>1389</v>
      </c>
      <c r="E302" s="1" t="s">
        <v>9038</v>
      </c>
      <c r="F302" s="1" t="s">
        <v>7692</v>
      </c>
      <c r="G302" t="s">
        <v>9039</v>
      </c>
      <c r="H302">
        <v>4529200</v>
      </c>
      <c r="I302" s="1" t="s">
        <v>9040</v>
      </c>
      <c r="J302" s="44" t="s">
        <v>9040</v>
      </c>
      <c r="K302" s="44" t="s">
        <v>5083</v>
      </c>
      <c r="L302" s="1" t="s">
        <v>7132</v>
      </c>
      <c r="M302" s="1" t="s">
        <v>5857</v>
      </c>
      <c r="N302" s="1" t="s">
        <v>8133</v>
      </c>
    </row>
    <row r="303" spans="1:14">
      <c r="A303" s="1" t="s">
        <v>1139</v>
      </c>
      <c r="B303" s="1" t="s">
        <v>1140</v>
      </c>
      <c r="C303" s="1" t="s">
        <v>1141</v>
      </c>
      <c r="D303" s="1" t="s">
        <v>1393</v>
      </c>
      <c r="E303" s="1" t="s">
        <v>9041</v>
      </c>
      <c r="F303" s="1" t="s">
        <v>6350</v>
      </c>
      <c r="G303" t="s">
        <v>9042</v>
      </c>
      <c r="H303">
        <v>4508480</v>
      </c>
      <c r="I303" s="1" t="s">
        <v>138</v>
      </c>
      <c r="J303" s="44" t="s">
        <v>1143</v>
      </c>
      <c r="K303" s="44" t="s">
        <v>7440</v>
      </c>
      <c r="L303" s="1" t="s">
        <v>5775</v>
      </c>
      <c r="M303" s="1" t="s">
        <v>7477</v>
      </c>
      <c r="N303" s="1" t="s">
        <v>8137</v>
      </c>
    </row>
    <row r="304" spans="1:14">
      <c r="A304" s="1" t="s">
        <v>1575</v>
      </c>
      <c r="B304" s="1" t="s">
        <v>1576</v>
      </c>
      <c r="C304" s="1" t="s">
        <v>1577</v>
      </c>
      <c r="D304" s="1" t="s">
        <v>1397</v>
      </c>
      <c r="E304" s="1" t="s">
        <v>9043</v>
      </c>
      <c r="F304" s="1" t="s">
        <v>6710</v>
      </c>
      <c r="G304" t="s">
        <v>9044</v>
      </c>
      <c r="H304">
        <v>4446923</v>
      </c>
      <c r="I304" s="1" t="s">
        <v>9045</v>
      </c>
      <c r="J304" s="44" t="s">
        <v>9046</v>
      </c>
      <c r="K304" s="44" t="s">
        <v>5860</v>
      </c>
      <c r="L304" s="1" t="s">
        <v>5539</v>
      </c>
      <c r="M304" s="1" t="s">
        <v>9047</v>
      </c>
      <c r="N304" s="1" t="s">
        <v>8098</v>
      </c>
    </row>
    <row r="305" spans="1:14">
      <c r="A305" s="1" t="s">
        <v>1676</v>
      </c>
      <c r="B305" s="1" t="s">
        <v>1677</v>
      </c>
      <c r="C305" s="1" t="s">
        <v>1678</v>
      </c>
      <c r="D305" s="1" t="s">
        <v>1401</v>
      </c>
      <c r="E305" s="1" t="s">
        <v>9048</v>
      </c>
      <c r="F305" s="1" t="s">
        <v>9049</v>
      </c>
      <c r="G305" t="s">
        <v>9050</v>
      </c>
      <c r="H305">
        <v>4430642</v>
      </c>
      <c r="I305" s="1" t="s">
        <v>5079</v>
      </c>
      <c r="J305" s="44" t="s">
        <v>5079</v>
      </c>
      <c r="K305" s="44" t="s">
        <v>6167</v>
      </c>
      <c r="L305" s="1" t="s">
        <v>5766</v>
      </c>
      <c r="M305" s="1" t="s">
        <v>6996</v>
      </c>
      <c r="N305" s="1" t="s">
        <v>8133</v>
      </c>
    </row>
    <row r="306" spans="1:14">
      <c r="A306" s="1" t="s">
        <v>1240</v>
      </c>
      <c r="B306" s="1" t="s">
        <v>1241</v>
      </c>
      <c r="C306" s="1" t="s">
        <v>1242</v>
      </c>
      <c r="D306" s="1" t="s">
        <v>1405</v>
      </c>
      <c r="E306" s="1" t="s">
        <v>9051</v>
      </c>
      <c r="F306" s="1" t="s">
        <v>7085</v>
      </c>
      <c r="G306" t="s">
        <v>9052</v>
      </c>
      <c r="H306">
        <v>4378748</v>
      </c>
      <c r="I306" s="1" t="s">
        <v>6208</v>
      </c>
      <c r="J306" s="44" t="s">
        <v>6208</v>
      </c>
      <c r="K306" s="44" t="s">
        <v>5386</v>
      </c>
      <c r="L306" s="1" t="s">
        <v>6296</v>
      </c>
      <c r="M306" s="1" t="s">
        <v>5787</v>
      </c>
      <c r="N306" s="1" t="s">
        <v>8152</v>
      </c>
    </row>
    <row r="307" spans="1:14">
      <c r="A307" s="1" t="s">
        <v>1299</v>
      </c>
      <c r="B307" s="1" t="s">
        <v>1300</v>
      </c>
      <c r="C307" s="1" t="s">
        <v>1301</v>
      </c>
      <c r="D307" s="1" t="s">
        <v>1411</v>
      </c>
      <c r="E307" s="1" t="s">
        <v>9053</v>
      </c>
      <c r="F307" s="1" t="s">
        <v>7086</v>
      </c>
      <c r="G307" t="s">
        <v>9054</v>
      </c>
      <c r="H307">
        <v>4337231</v>
      </c>
      <c r="I307" s="1" t="s">
        <v>9055</v>
      </c>
      <c r="J307" s="44" t="s">
        <v>9055</v>
      </c>
      <c r="K307" s="44" t="s">
        <v>6228</v>
      </c>
      <c r="L307" s="1" t="s">
        <v>6172</v>
      </c>
      <c r="M307" s="1" t="s">
        <v>7824</v>
      </c>
      <c r="N307" s="1" t="s">
        <v>8090</v>
      </c>
    </row>
    <row r="308" spans="1:14">
      <c r="A308" s="1" t="s">
        <v>1230</v>
      </c>
      <c r="B308" s="1" t="s">
        <v>1231</v>
      </c>
      <c r="C308" s="1" t="s">
        <v>1232</v>
      </c>
      <c r="D308" s="1" t="s">
        <v>1415</v>
      </c>
      <c r="E308" s="1" t="s">
        <v>9056</v>
      </c>
      <c r="F308" s="1" t="s">
        <v>6835</v>
      </c>
      <c r="G308" t="s">
        <v>9057</v>
      </c>
      <c r="H308">
        <v>4322648</v>
      </c>
      <c r="I308" s="1" t="s">
        <v>5142</v>
      </c>
      <c r="J308" s="44" t="s">
        <v>1234</v>
      </c>
      <c r="K308" s="44" t="s">
        <v>5956</v>
      </c>
      <c r="L308" s="1" t="s">
        <v>7616</v>
      </c>
      <c r="M308" s="1" t="s">
        <v>6111</v>
      </c>
      <c r="N308" s="1" t="s">
        <v>8213</v>
      </c>
    </row>
    <row r="309" spans="1:14">
      <c r="A309" s="1" t="s">
        <v>1343</v>
      </c>
      <c r="B309" s="1" t="s">
        <v>1344</v>
      </c>
      <c r="C309" s="1" t="s">
        <v>1345</v>
      </c>
      <c r="D309" s="1" t="s">
        <v>1419</v>
      </c>
      <c r="E309" s="1" t="s">
        <v>9058</v>
      </c>
      <c r="F309" s="1" t="s">
        <v>6209</v>
      </c>
      <c r="G309" t="s">
        <v>9059</v>
      </c>
      <c r="H309">
        <v>4319728</v>
      </c>
      <c r="I309" s="1" t="s">
        <v>9060</v>
      </c>
      <c r="J309" s="44" t="s">
        <v>9060</v>
      </c>
      <c r="K309" s="44" t="s">
        <v>5001</v>
      </c>
      <c r="L309" s="1" t="s">
        <v>6168</v>
      </c>
      <c r="M309" s="1" t="s">
        <v>7400</v>
      </c>
      <c r="N309" s="1" t="s">
        <v>8137</v>
      </c>
    </row>
    <row r="310" spans="1:14">
      <c r="A310" s="1" t="s">
        <v>5901</v>
      </c>
      <c r="B310" s="1" t="s">
        <v>5319</v>
      </c>
      <c r="C310" s="1" t="s">
        <v>5033</v>
      </c>
      <c r="D310" s="1" t="s">
        <v>1424</v>
      </c>
      <c r="E310" s="1" t="s">
        <v>9061</v>
      </c>
      <c r="F310" s="1" t="s">
        <v>9062</v>
      </c>
      <c r="G310" t="s">
        <v>9063</v>
      </c>
      <c r="H310">
        <v>4298578</v>
      </c>
      <c r="I310" s="1" t="s">
        <v>5034</v>
      </c>
      <c r="J310" s="44" t="s">
        <v>5034</v>
      </c>
      <c r="K310" s="44" t="s">
        <v>6126</v>
      </c>
      <c r="L310" s="1" t="s">
        <v>7332</v>
      </c>
      <c r="M310" s="1" t="s">
        <v>9064</v>
      </c>
      <c r="N310" s="1" t="s">
        <v>8140</v>
      </c>
    </row>
    <row r="311" spans="1:14">
      <c r="A311" s="1" t="s">
        <v>1214</v>
      </c>
      <c r="B311" s="1" t="s">
        <v>1215</v>
      </c>
      <c r="C311" s="1" t="s">
        <v>1216</v>
      </c>
      <c r="D311" s="1" t="s">
        <v>1429</v>
      </c>
      <c r="E311" s="1" t="s">
        <v>9065</v>
      </c>
      <c r="F311" s="1" t="s">
        <v>9066</v>
      </c>
      <c r="G311" t="s">
        <v>9067</v>
      </c>
      <c r="H311">
        <v>4132155</v>
      </c>
      <c r="I311" s="1" t="s">
        <v>1218</v>
      </c>
      <c r="J311" s="44" t="s">
        <v>1219</v>
      </c>
      <c r="K311" s="44" t="s">
        <v>6461</v>
      </c>
      <c r="L311" s="1" t="s">
        <v>7932</v>
      </c>
      <c r="M311" s="1" t="s">
        <v>7741</v>
      </c>
      <c r="N311" s="1" t="s">
        <v>8213</v>
      </c>
    </row>
    <row r="312" spans="1:14">
      <c r="A312" s="1" t="s">
        <v>1252</v>
      </c>
      <c r="B312" s="1" t="s">
        <v>1253</v>
      </c>
      <c r="C312" s="1" t="s">
        <v>1254</v>
      </c>
      <c r="D312" s="1" t="s">
        <v>1434</v>
      </c>
      <c r="E312" s="1" t="s">
        <v>9068</v>
      </c>
      <c r="F312" s="1" t="s">
        <v>9069</v>
      </c>
      <c r="G312" t="s">
        <v>9070</v>
      </c>
      <c r="H312">
        <v>3966420</v>
      </c>
      <c r="I312" s="1" t="s">
        <v>5607</v>
      </c>
      <c r="J312" s="44" t="s">
        <v>1256</v>
      </c>
      <c r="K312" s="44" t="s">
        <v>5120</v>
      </c>
      <c r="L312" s="1" t="s">
        <v>5537</v>
      </c>
      <c r="M312" s="1" t="s">
        <v>5770</v>
      </c>
      <c r="N312" s="1" t="s">
        <v>8102</v>
      </c>
    </row>
    <row r="313" spans="1:14">
      <c r="A313" s="1" t="s">
        <v>1326</v>
      </c>
      <c r="B313" s="1" t="s">
        <v>1327</v>
      </c>
      <c r="C313" s="1" t="s">
        <v>1328</v>
      </c>
      <c r="D313" s="1" t="s">
        <v>1438</v>
      </c>
      <c r="E313" s="1" t="s">
        <v>9071</v>
      </c>
      <c r="F313" s="1" t="s">
        <v>6210</v>
      </c>
      <c r="G313" t="s">
        <v>9072</v>
      </c>
      <c r="H313">
        <v>3781566</v>
      </c>
      <c r="I313" s="1" t="s">
        <v>9073</v>
      </c>
      <c r="J313" s="44" t="s">
        <v>9074</v>
      </c>
      <c r="K313" s="44" t="s">
        <v>5767</v>
      </c>
      <c r="L313" s="1" t="s">
        <v>5896</v>
      </c>
      <c r="M313" s="1" t="s">
        <v>5397</v>
      </c>
      <c r="N313" s="1" t="s">
        <v>8162</v>
      </c>
    </row>
    <row r="314" spans="1:14">
      <c r="A314" s="1" t="s">
        <v>1524</v>
      </c>
      <c r="B314" s="1" t="s">
        <v>1525</v>
      </c>
      <c r="C314" s="1" t="s">
        <v>1526</v>
      </c>
      <c r="D314" s="1" t="s">
        <v>1439</v>
      </c>
      <c r="E314" s="1" t="s">
        <v>9075</v>
      </c>
      <c r="F314" s="1" t="s">
        <v>7521</v>
      </c>
      <c r="G314" t="s">
        <v>9076</v>
      </c>
      <c r="H314">
        <v>3704231</v>
      </c>
      <c r="I314" s="1" t="s">
        <v>5903</v>
      </c>
      <c r="J314" s="44" t="s">
        <v>5903</v>
      </c>
      <c r="K314" s="44" t="s">
        <v>5644</v>
      </c>
      <c r="L314" s="1" t="s">
        <v>1081</v>
      </c>
      <c r="M314" s="1" t="s">
        <v>7296</v>
      </c>
      <c r="N314" s="1" t="s">
        <v>8152</v>
      </c>
    </row>
    <row r="315" spans="1:14">
      <c r="A315" s="1" t="s">
        <v>1390</v>
      </c>
      <c r="B315" s="1" t="s">
        <v>1391</v>
      </c>
      <c r="C315" s="1" t="s">
        <v>1392</v>
      </c>
      <c r="D315" s="1" t="s">
        <v>1442</v>
      </c>
      <c r="E315" s="1" t="s">
        <v>9077</v>
      </c>
      <c r="F315" s="1" t="s">
        <v>7817</v>
      </c>
      <c r="G315" t="s">
        <v>9078</v>
      </c>
      <c r="H315">
        <v>3610683</v>
      </c>
      <c r="I315" s="1" t="s">
        <v>6711</v>
      </c>
      <c r="J315" s="44" t="s">
        <v>6712</v>
      </c>
      <c r="K315" s="44" t="s">
        <v>5549</v>
      </c>
      <c r="L315" s="1" t="s">
        <v>5803</v>
      </c>
      <c r="M315" s="1" t="s">
        <v>6601</v>
      </c>
      <c r="N315" s="1" t="s">
        <v>8162</v>
      </c>
    </row>
    <row r="316" spans="1:14">
      <c r="A316" s="1" t="s">
        <v>1282</v>
      </c>
      <c r="B316" s="1" t="s">
        <v>1283</v>
      </c>
      <c r="C316" s="1" t="s">
        <v>1284</v>
      </c>
      <c r="D316" s="1" t="s">
        <v>1445</v>
      </c>
      <c r="E316" s="1" t="s">
        <v>7603</v>
      </c>
      <c r="F316" s="1" t="s">
        <v>7366</v>
      </c>
      <c r="G316" t="s">
        <v>7604</v>
      </c>
      <c r="H316">
        <v>3573870</v>
      </c>
      <c r="I316" s="1" t="s">
        <v>1286</v>
      </c>
      <c r="J316" s="44" t="s">
        <v>1286</v>
      </c>
      <c r="K316" s="44" t="s">
        <v>5048</v>
      </c>
      <c r="L316" s="1" t="s">
        <v>6971</v>
      </c>
      <c r="M316" s="1" t="s">
        <v>6017</v>
      </c>
      <c r="N316" s="1" t="s">
        <v>8080</v>
      </c>
    </row>
    <row r="317" spans="1:14">
      <c r="A317" s="1" t="s">
        <v>1373</v>
      </c>
      <c r="B317" s="1" t="s">
        <v>1374</v>
      </c>
      <c r="C317" s="1" t="s">
        <v>1375</v>
      </c>
      <c r="D317" s="1" t="s">
        <v>1449</v>
      </c>
      <c r="E317" s="1" t="s">
        <v>9079</v>
      </c>
      <c r="F317" s="1" t="s">
        <v>6713</v>
      </c>
      <c r="G317" t="s">
        <v>9080</v>
      </c>
      <c r="H317">
        <v>3482707</v>
      </c>
      <c r="I317" s="1" t="s">
        <v>1377</v>
      </c>
      <c r="J317" s="44" t="s">
        <v>1377</v>
      </c>
      <c r="K317" s="44" t="s">
        <v>6139</v>
      </c>
      <c r="L317" s="1" t="s">
        <v>6658</v>
      </c>
      <c r="M317" s="1" t="s">
        <v>6296</v>
      </c>
      <c r="N317" s="1" t="s">
        <v>8133</v>
      </c>
    </row>
    <row r="318" spans="1:14">
      <c r="A318" s="1" t="s">
        <v>1347</v>
      </c>
      <c r="B318" s="1" t="s">
        <v>1348</v>
      </c>
      <c r="C318" s="1" t="s">
        <v>1349</v>
      </c>
      <c r="D318" s="1" t="s">
        <v>1454</v>
      </c>
      <c r="E318" s="1" t="s">
        <v>9081</v>
      </c>
      <c r="F318" s="1" t="s">
        <v>9082</v>
      </c>
      <c r="G318" t="s">
        <v>9083</v>
      </c>
      <c r="H318">
        <v>3481893</v>
      </c>
      <c r="I318" s="1" t="s">
        <v>9084</v>
      </c>
      <c r="J318" s="44" t="s">
        <v>9084</v>
      </c>
      <c r="K318" s="44" t="s">
        <v>5050</v>
      </c>
      <c r="L318" s="1" t="s">
        <v>5910</v>
      </c>
      <c r="M318" s="1" t="s">
        <v>7888</v>
      </c>
      <c r="N318" s="1" t="s">
        <v>8112</v>
      </c>
    </row>
    <row r="319" spans="1:14">
      <c r="A319" s="1" t="s">
        <v>1408</v>
      </c>
      <c r="B319" s="1" t="s">
        <v>1409</v>
      </c>
      <c r="C319" s="1" t="s">
        <v>1410</v>
      </c>
      <c r="D319" s="1" t="s">
        <v>1458</v>
      </c>
      <c r="E319" s="1" t="s">
        <v>9085</v>
      </c>
      <c r="F319" s="1" t="s">
        <v>7963</v>
      </c>
      <c r="G319" t="s">
        <v>9086</v>
      </c>
      <c r="H319">
        <v>3462941</v>
      </c>
      <c r="I319" s="1" t="s">
        <v>9087</v>
      </c>
      <c r="J319" s="44" t="s">
        <v>9087</v>
      </c>
      <c r="K319" s="44" t="s">
        <v>4998</v>
      </c>
      <c r="L319" s="1" t="s">
        <v>6521</v>
      </c>
      <c r="M319" s="1" t="s">
        <v>7090</v>
      </c>
      <c r="N319" s="1" t="s">
        <v>8190</v>
      </c>
    </row>
    <row r="320" spans="1:14">
      <c r="A320" s="1" t="s">
        <v>1368</v>
      </c>
      <c r="B320" s="1" t="s">
        <v>1369</v>
      </c>
      <c r="C320" s="1" t="s">
        <v>1370</v>
      </c>
      <c r="D320" s="1" t="s">
        <v>1462</v>
      </c>
      <c r="E320" s="1" t="s">
        <v>7902</v>
      </c>
      <c r="F320" s="1" t="s">
        <v>3271</v>
      </c>
      <c r="G320" t="s">
        <v>9088</v>
      </c>
      <c r="H320">
        <v>3404255</v>
      </c>
      <c r="I320" s="1" t="s">
        <v>5114</v>
      </c>
      <c r="J320" s="44" t="s">
        <v>9089</v>
      </c>
      <c r="K320" s="44" t="s">
        <v>5067</v>
      </c>
      <c r="L320" s="1" t="s">
        <v>6540</v>
      </c>
      <c r="M320" s="1" t="s">
        <v>6150</v>
      </c>
      <c r="N320" s="1" t="s">
        <v>8152</v>
      </c>
    </row>
    <row r="321" spans="1:14">
      <c r="A321" s="1" t="s">
        <v>1322</v>
      </c>
      <c r="B321" s="1" t="s">
        <v>1323</v>
      </c>
      <c r="C321" s="1" t="s">
        <v>1324</v>
      </c>
      <c r="D321" s="1" t="s">
        <v>1466</v>
      </c>
      <c r="E321" s="1" t="s">
        <v>9090</v>
      </c>
      <c r="F321" s="1" t="s">
        <v>5235</v>
      </c>
      <c r="G321" t="s">
        <v>9091</v>
      </c>
      <c r="H321">
        <v>3392183</v>
      </c>
      <c r="I321" s="1" t="s">
        <v>9092</v>
      </c>
      <c r="J321" s="44" t="s">
        <v>9092</v>
      </c>
      <c r="K321" s="44" t="s">
        <v>5049</v>
      </c>
      <c r="L321" s="1" t="s">
        <v>7344</v>
      </c>
      <c r="M321" s="1" t="s">
        <v>6285</v>
      </c>
      <c r="N321" s="1" t="s">
        <v>8107</v>
      </c>
    </row>
    <row r="322" spans="1:14">
      <c r="A322" s="1" t="s">
        <v>1295</v>
      </c>
      <c r="B322" s="1" t="s">
        <v>1296</v>
      </c>
      <c r="C322" s="1" t="s">
        <v>1297</v>
      </c>
      <c r="D322" s="1" t="s">
        <v>1471</v>
      </c>
      <c r="E322" s="1" t="s">
        <v>9093</v>
      </c>
      <c r="F322" s="1" t="s">
        <v>7693</v>
      </c>
      <c r="G322" t="s">
        <v>9094</v>
      </c>
      <c r="H322">
        <v>3373816</v>
      </c>
      <c r="I322" s="1" t="s">
        <v>9095</v>
      </c>
      <c r="J322" s="44" t="s">
        <v>9095</v>
      </c>
      <c r="K322" s="44" t="s">
        <v>5651</v>
      </c>
      <c r="L322" s="1" t="s">
        <v>6583</v>
      </c>
      <c r="M322" s="1" t="s">
        <v>7863</v>
      </c>
      <c r="N322" s="1" t="s">
        <v>8152</v>
      </c>
    </row>
    <row r="323" spans="1:14">
      <c r="A323" s="1" t="s">
        <v>1603</v>
      </c>
      <c r="B323" s="1" t="s">
        <v>1604</v>
      </c>
      <c r="C323" s="1" t="s">
        <v>1605</v>
      </c>
      <c r="D323" s="1" t="s">
        <v>1475</v>
      </c>
      <c r="E323" s="1" t="s">
        <v>9096</v>
      </c>
      <c r="F323" s="1" t="s">
        <v>7966</v>
      </c>
      <c r="G323" t="s">
        <v>9097</v>
      </c>
      <c r="H323">
        <v>3370761</v>
      </c>
      <c r="I323" s="1" t="s">
        <v>1607</v>
      </c>
      <c r="J323" s="44" t="s">
        <v>1607</v>
      </c>
      <c r="K323" s="44" t="s">
        <v>7042</v>
      </c>
      <c r="L323" s="1" t="s">
        <v>7318</v>
      </c>
      <c r="M323" s="1" t="s">
        <v>9098</v>
      </c>
      <c r="N323" s="1" t="s">
        <v>8152</v>
      </c>
    </row>
    <row r="324" spans="1:14">
      <c r="A324" s="1" t="s">
        <v>5193</v>
      </c>
      <c r="B324" s="1" t="s">
        <v>5194</v>
      </c>
      <c r="C324" s="1" t="s">
        <v>5194</v>
      </c>
      <c r="D324" s="1" t="s">
        <v>1479</v>
      </c>
      <c r="E324" s="1" t="s">
        <v>9099</v>
      </c>
      <c r="F324" s="1" t="s">
        <v>7967</v>
      </c>
      <c r="G324" t="s">
        <v>9100</v>
      </c>
      <c r="H324">
        <v>3262521</v>
      </c>
      <c r="I324" s="1" t="s">
        <v>9101</v>
      </c>
      <c r="J324" s="44" t="s">
        <v>9101</v>
      </c>
      <c r="K324" s="44" t="s">
        <v>7968</v>
      </c>
      <c r="L324" s="1" t="s">
        <v>5746</v>
      </c>
      <c r="M324" s="1" t="s">
        <v>7564</v>
      </c>
      <c r="N324" s="1" t="s">
        <v>8437</v>
      </c>
    </row>
    <row r="325" spans="1:14">
      <c r="A325" s="1" t="s">
        <v>1490</v>
      </c>
      <c r="B325" s="1" t="s">
        <v>1491</v>
      </c>
      <c r="C325" s="1" t="s">
        <v>1492</v>
      </c>
      <c r="D325" s="1" t="s">
        <v>1483</v>
      </c>
      <c r="E325" s="1" t="s">
        <v>9102</v>
      </c>
      <c r="F325" s="1" t="s">
        <v>9103</v>
      </c>
      <c r="G325" t="s">
        <v>9104</v>
      </c>
      <c r="H325">
        <v>3259737</v>
      </c>
      <c r="I325" s="1" t="s">
        <v>5282</v>
      </c>
      <c r="J325" s="44" t="s">
        <v>1494</v>
      </c>
      <c r="K325" s="44" t="s">
        <v>5398</v>
      </c>
      <c r="L325" s="1" t="s">
        <v>9105</v>
      </c>
      <c r="M325" s="1" t="s">
        <v>9106</v>
      </c>
      <c r="N325" s="1" t="s">
        <v>8080</v>
      </c>
    </row>
    <row r="326" spans="1:14">
      <c r="A326" s="1" t="s">
        <v>1209</v>
      </c>
      <c r="B326" s="1" t="s">
        <v>1210</v>
      </c>
      <c r="C326" s="1" t="s">
        <v>1211</v>
      </c>
      <c r="D326" s="1" t="s">
        <v>1488</v>
      </c>
      <c r="E326" s="1" t="s">
        <v>9107</v>
      </c>
      <c r="F326" s="1" t="s">
        <v>7969</v>
      </c>
      <c r="G326" t="s">
        <v>9108</v>
      </c>
      <c r="H326">
        <v>3256292</v>
      </c>
      <c r="I326" s="1" t="s">
        <v>4995</v>
      </c>
      <c r="J326" s="44" t="s">
        <v>1213</v>
      </c>
      <c r="K326" s="44" t="s">
        <v>5095</v>
      </c>
      <c r="L326" s="1" t="s">
        <v>7423</v>
      </c>
      <c r="M326" s="1" t="s">
        <v>7504</v>
      </c>
      <c r="N326" s="1" t="s">
        <v>8121</v>
      </c>
    </row>
    <row r="327" spans="1:14">
      <c r="A327" s="1" t="s">
        <v>1476</v>
      </c>
      <c r="B327" s="1" t="s">
        <v>1477</v>
      </c>
      <c r="C327" s="1" t="s">
        <v>1478</v>
      </c>
      <c r="D327" s="1" t="s">
        <v>1493</v>
      </c>
      <c r="E327" s="1" t="s">
        <v>9109</v>
      </c>
      <c r="F327" s="1" t="s">
        <v>7095</v>
      </c>
      <c r="G327" t="s">
        <v>9110</v>
      </c>
      <c r="H327">
        <v>3209981</v>
      </c>
      <c r="I327" s="1" t="s">
        <v>9111</v>
      </c>
      <c r="J327" s="44" t="s">
        <v>9111</v>
      </c>
      <c r="K327" s="44" t="s">
        <v>6184</v>
      </c>
      <c r="L327" s="1" t="s">
        <v>5648</v>
      </c>
      <c r="M327" s="1" t="s">
        <v>6137</v>
      </c>
      <c r="N327" s="1" t="s">
        <v>8133</v>
      </c>
    </row>
    <row r="328" spans="1:14">
      <c r="A328" s="1" t="s">
        <v>1426</v>
      </c>
      <c r="B328" s="1" t="s">
        <v>1427</v>
      </c>
      <c r="C328" s="1" t="s">
        <v>1428</v>
      </c>
      <c r="D328" s="1" t="s">
        <v>1498</v>
      </c>
      <c r="E328" s="1" t="s">
        <v>9112</v>
      </c>
      <c r="F328" s="1" t="s">
        <v>6685</v>
      </c>
      <c r="G328" t="s">
        <v>9113</v>
      </c>
      <c r="H328">
        <v>3199500</v>
      </c>
      <c r="I328" s="1" t="s">
        <v>1430</v>
      </c>
      <c r="J328" s="44" t="s">
        <v>1430</v>
      </c>
      <c r="K328" s="44" t="s">
        <v>7220</v>
      </c>
      <c r="L328" s="1" t="s">
        <v>9114</v>
      </c>
      <c r="M328" s="1" t="s">
        <v>7621</v>
      </c>
      <c r="N328" s="1" t="s">
        <v>8085</v>
      </c>
    </row>
    <row r="329" spans="1:14">
      <c r="A329" s="1" t="s">
        <v>1248</v>
      </c>
      <c r="B329" s="1" t="s">
        <v>1249</v>
      </c>
      <c r="C329" s="1" t="s">
        <v>1250</v>
      </c>
      <c r="D329" s="1" t="s">
        <v>1504</v>
      </c>
      <c r="E329" s="1" t="s">
        <v>9115</v>
      </c>
      <c r="F329" s="1" t="s">
        <v>9116</v>
      </c>
      <c r="G329" t="s">
        <v>9117</v>
      </c>
      <c r="H329">
        <v>3150907</v>
      </c>
      <c r="I329" s="1" t="s">
        <v>7523</v>
      </c>
      <c r="J329" s="44" t="s">
        <v>7523</v>
      </c>
      <c r="K329" s="44" t="s">
        <v>5537</v>
      </c>
      <c r="L329" s="1" t="s">
        <v>5211</v>
      </c>
      <c r="M329" s="1" t="s">
        <v>6961</v>
      </c>
      <c r="N329" s="1" t="s">
        <v>8152</v>
      </c>
    </row>
    <row r="330" spans="1:14">
      <c r="A330" s="1" t="s">
        <v>967</v>
      </c>
      <c r="B330" s="1" t="s">
        <v>968</v>
      </c>
      <c r="C330" s="1" t="s">
        <v>969</v>
      </c>
      <c r="D330" s="1" t="s">
        <v>1510</v>
      </c>
      <c r="E330" s="1" t="s">
        <v>9118</v>
      </c>
      <c r="F330" s="1" t="s">
        <v>9119</v>
      </c>
      <c r="G330" t="s">
        <v>9120</v>
      </c>
      <c r="H330">
        <v>3132541</v>
      </c>
      <c r="I330" s="1" t="s">
        <v>9121</v>
      </c>
      <c r="J330" s="44" t="s">
        <v>9121</v>
      </c>
      <c r="K330" s="44" t="s">
        <v>5138</v>
      </c>
      <c r="L330" s="1" t="s">
        <v>7849</v>
      </c>
      <c r="M330" s="1" t="s">
        <v>7819</v>
      </c>
      <c r="N330" s="1" t="s">
        <v>8112</v>
      </c>
    </row>
    <row r="331" spans="1:14">
      <c r="A331" s="1" t="s">
        <v>1108</v>
      </c>
      <c r="B331" s="1" t="s">
        <v>1109</v>
      </c>
      <c r="C331" s="1" t="s">
        <v>1110</v>
      </c>
      <c r="D331" s="1" t="s">
        <v>1515</v>
      </c>
      <c r="E331" s="1" t="s">
        <v>9122</v>
      </c>
      <c r="F331" s="1" t="s">
        <v>7820</v>
      </c>
      <c r="G331" t="s">
        <v>9123</v>
      </c>
      <c r="H331">
        <v>3071828</v>
      </c>
      <c r="I331" s="1" t="s">
        <v>6214</v>
      </c>
      <c r="J331" s="44" t="s">
        <v>6214</v>
      </c>
      <c r="K331" s="44" t="s">
        <v>6303</v>
      </c>
      <c r="L331" s="1" t="s">
        <v>7178</v>
      </c>
      <c r="M331" s="1" t="s">
        <v>7092</v>
      </c>
      <c r="N331" s="1" t="s">
        <v>8065</v>
      </c>
    </row>
    <row r="332" spans="1:14">
      <c r="A332" s="1" t="s">
        <v>1378</v>
      </c>
      <c r="B332" s="1" t="s">
        <v>1379</v>
      </c>
      <c r="C332" s="1" t="s">
        <v>410</v>
      </c>
      <c r="D332" s="1" t="s">
        <v>1519</v>
      </c>
      <c r="E332" s="1" t="s">
        <v>9124</v>
      </c>
      <c r="F332" s="1" t="s">
        <v>7821</v>
      </c>
      <c r="G332" t="s">
        <v>9125</v>
      </c>
      <c r="H332">
        <v>3071468</v>
      </c>
      <c r="I332" s="1" t="s">
        <v>6714</v>
      </c>
      <c r="J332" s="44" t="s">
        <v>6714</v>
      </c>
      <c r="K332" s="44" t="s">
        <v>5212</v>
      </c>
      <c r="L332" s="1" t="s">
        <v>7184</v>
      </c>
      <c r="M332" s="1" t="s">
        <v>6298</v>
      </c>
      <c r="N332" s="1" t="s">
        <v>8121</v>
      </c>
    </row>
    <row r="333" spans="1:14">
      <c r="A333" s="1" t="s">
        <v>1274</v>
      </c>
      <c r="B333" s="1" t="s">
        <v>1275</v>
      </c>
      <c r="C333" s="1" t="s">
        <v>1276</v>
      </c>
      <c r="D333" s="1" t="s">
        <v>1523</v>
      </c>
      <c r="E333" s="1" t="s">
        <v>9126</v>
      </c>
      <c r="F333" s="1" t="s">
        <v>9127</v>
      </c>
      <c r="G333" t="s">
        <v>9128</v>
      </c>
      <c r="H333">
        <v>3070525</v>
      </c>
      <c r="I333" s="1" t="s">
        <v>9129</v>
      </c>
      <c r="J333" s="44" t="s">
        <v>9129</v>
      </c>
      <c r="K333" s="44" t="s">
        <v>6228</v>
      </c>
      <c r="L333" s="1" t="s">
        <v>7053</v>
      </c>
      <c r="M333" s="1" t="s">
        <v>7684</v>
      </c>
      <c r="N333" s="1" t="s">
        <v>8483</v>
      </c>
    </row>
    <row r="334" spans="1:14">
      <c r="A334" s="1" t="s">
        <v>1507</v>
      </c>
      <c r="B334" s="1" t="s">
        <v>1508</v>
      </c>
      <c r="C334" s="1" t="s">
        <v>1509</v>
      </c>
      <c r="D334" s="1" t="s">
        <v>1527</v>
      </c>
      <c r="E334" s="1" t="s">
        <v>9130</v>
      </c>
      <c r="F334" s="1" t="s">
        <v>7694</v>
      </c>
      <c r="G334" t="s">
        <v>9131</v>
      </c>
      <c r="H334">
        <v>3056283</v>
      </c>
      <c r="I334" s="1" t="s">
        <v>1511</v>
      </c>
      <c r="J334" s="44" t="s">
        <v>1511</v>
      </c>
      <c r="K334" s="44" t="s">
        <v>5061</v>
      </c>
      <c r="L334" s="1" t="s">
        <v>6518</v>
      </c>
      <c r="M334" s="1" t="s">
        <v>9132</v>
      </c>
      <c r="N334" s="1" t="s">
        <v>8070</v>
      </c>
    </row>
    <row r="335" spans="1:14">
      <c r="A335" s="1" t="s">
        <v>1528</v>
      </c>
      <c r="B335" s="1" t="s">
        <v>1529</v>
      </c>
      <c r="C335" s="1" t="s">
        <v>1530</v>
      </c>
      <c r="D335" s="1" t="s">
        <v>1531</v>
      </c>
      <c r="E335" s="1" t="s">
        <v>9133</v>
      </c>
      <c r="F335" s="1" t="s">
        <v>9134</v>
      </c>
      <c r="G335" t="s">
        <v>9135</v>
      </c>
      <c r="H335">
        <v>3017954</v>
      </c>
      <c r="I335" s="1" t="s">
        <v>1532</v>
      </c>
      <c r="J335" s="44" t="s">
        <v>1532</v>
      </c>
      <c r="K335" s="44" t="s">
        <v>5884</v>
      </c>
      <c r="L335" s="1" t="s">
        <v>9136</v>
      </c>
      <c r="M335" s="1" t="s">
        <v>7329</v>
      </c>
      <c r="N335" s="1" t="s">
        <v>8190</v>
      </c>
    </row>
    <row r="336" spans="1:14">
      <c r="A336" s="1" t="s">
        <v>1359</v>
      </c>
      <c r="B336" s="1" t="s">
        <v>1360</v>
      </c>
      <c r="C336" s="1" t="s">
        <v>1361</v>
      </c>
      <c r="D336" s="1" t="s">
        <v>1536</v>
      </c>
      <c r="E336" s="1" t="s">
        <v>9137</v>
      </c>
      <c r="F336" s="1" t="s">
        <v>6715</v>
      </c>
      <c r="G336" t="s">
        <v>9138</v>
      </c>
      <c r="H336">
        <v>2953784</v>
      </c>
      <c r="I336" s="1" t="s">
        <v>1363</v>
      </c>
      <c r="J336" s="44" t="s">
        <v>1363</v>
      </c>
      <c r="K336" s="44" t="s">
        <v>5067</v>
      </c>
      <c r="L336" s="1" t="s">
        <v>5495</v>
      </c>
      <c r="M336" s="1" t="s">
        <v>9139</v>
      </c>
      <c r="N336" s="1" t="s">
        <v>8065</v>
      </c>
    </row>
    <row r="337" spans="1:14">
      <c r="A337" s="1" t="s">
        <v>1381</v>
      </c>
      <c r="B337" s="1" t="s">
        <v>1382</v>
      </c>
      <c r="C337" s="1" t="s">
        <v>1383</v>
      </c>
      <c r="D337" s="1" t="s">
        <v>1540</v>
      </c>
      <c r="E337" s="1" t="s">
        <v>6215</v>
      </c>
      <c r="F337" s="1" t="s">
        <v>6200</v>
      </c>
      <c r="G337" t="s">
        <v>9140</v>
      </c>
      <c r="H337">
        <v>2947633</v>
      </c>
      <c r="I337" s="1" t="s">
        <v>1385</v>
      </c>
      <c r="J337" s="44" t="s">
        <v>1385</v>
      </c>
      <c r="K337" s="44" t="s">
        <v>5788</v>
      </c>
      <c r="L337" s="1" t="s">
        <v>5547</v>
      </c>
      <c r="M337" s="1" t="s">
        <v>9141</v>
      </c>
      <c r="N337" s="1" t="s">
        <v>8263</v>
      </c>
    </row>
    <row r="338" spans="1:14">
      <c r="A338" s="1" t="s">
        <v>1291</v>
      </c>
      <c r="B338" s="1" t="s">
        <v>1292</v>
      </c>
      <c r="C338" s="1" t="s">
        <v>1293</v>
      </c>
      <c r="D338" s="1" t="s">
        <v>1544</v>
      </c>
      <c r="E338" s="1" t="s">
        <v>9142</v>
      </c>
      <c r="F338" s="1" t="s">
        <v>7970</v>
      </c>
      <c r="G338" t="s">
        <v>9143</v>
      </c>
      <c r="H338">
        <v>2882657</v>
      </c>
      <c r="I338" s="1" t="s">
        <v>5141</v>
      </c>
      <c r="J338" s="44" t="s">
        <v>5141</v>
      </c>
      <c r="K338" s="44" t="s">
        <v>5065</v>
      </c>
      <c r="L338" s="1" t="s">
        <v>5851</v>
      </c>
      <c r="M338" s="1" t="s">
        <v>7580</v>
      </c>
      <c r="N338" s="1" t="s">
        <v>8080</v>
      </c>
    </row>
    <row r="339" spans="1:14">
      <c r="A339" s="1" t="s">
        <v>2380</v>
      </c>
      <c r="B339" s="1" t="s">
        <v>2381</v>
      </c>
      <c r="C339" s="1" t="s">
        <v>2382</v>
      </c>
      <c r="D339" s="1" t="s">
        <v>1550</v>
      </c>
      <c r="E339" s="1" t="s">
        <v>9144</v>
      </c>
      <c r="F339" s="1" t="s">
        <v>6674</v>
      </c>
      <c r="G339" t="s">
        <v>9145</v>
      </c>
      <c r="H339">
        <v>2865771</v>
      </c>
      <c r="I339" s="1" t="s">
        <v>9146</v>
      </c>
      <c r="J339" s="44" t="s">
        <v>9147</v>
      </c>
      <c r="K339" s="44" t="s">
        <v>5067</v>
      </c>
      <c r="L339" s="1" t="s">
        <v>5506</v>
      </c>
      <c r="M339" s="1" t="s">
        <v>6319</v>
      </c>
      <c r="N339" s="1" t="s">
        <v>8186</v>
      </c>
    </row>
    <row r="340" spans="1:14">
      <c r="A340" s="1" t="s">
        <v>1468</v>
      </c>
      <c r="B340" s="1" t="s">
        <v>1469</v>
      </c>
      <c r="C340" s="1" t="s">
        <v>1470</v>
      </c>
      <c r="D340" s="1" t="s">
        <v>1556</v>
      </c>
      <c r="E340" s="1" t="s">
        <v>9148</v>
      </c>
      <c r="F340" s="1" t="s">
        <v>9149</v>
      </c>
      <c r="G340" t="s">
        <v>9150</v>
      </c>
      <c r="H340">
        <v>2856754</v>
      </c>
      <c r="I340" s="1" t="s">
        <v>9151</v>
      </c>
      <c r="J340" s="44" t="s">
        <v>9151</v>
      </c>
      <c r="K340" s="44" t="s">
        <v>5214</v>
      </c>
      <c r="L340" s="1" t="s">
        <v>6984</v>
      </c>
      <c r="M340" s="1" t="s">
        <v>6435</v>
      </c>
      <c r="N340" s="1" t="s">
        <v>8098</v>
      </c>
    </row>
    <row r="341" spans="1:14">
      <c r="A341" s="1" t="s">
        <v>4926</v>
      </c>
      <c r="B341" s="1" t="s">
        <v>4927</v>
      </c>
      <c r="C341" s="1" t="s">
        <v>4927</v>
      </c>
      <c r="D341" s="1" t="s">
        <v>1560</v>
      </c>
      <c r="E341" s="1" t="s">
        <v>9152</v>
      </c>
      <c r="F341" s="1" t="s">
        <v>9153</v>
      </c>
      <c r="G341" t="s">
        <v>9154</v>
      </c>
      <c r="H341">
        <v>2853390</v>
      </c>
      <c r="I341" s="1" t="s">
        <v>4928</v>
      </c>
      <c r="J341" s="44" t="s">
        <v>4929</v>
      </c>
      <c r="K341" s="44" t="s">
        <v>6523</v>
      </c>
      <c r="L341" s="1" t="s">
        <v>9155</v>
      </c>
      <c r="M341" s="1" t="s">
        <v>9156</v>
      </c>
      <c r="N341" s="1" t="s">
        <v>8213</v>
      </c>
    </row>
    <row r="342" spans="1:14">
      <c r="A342" s="1" t="s">
        <v>1287</v>
      </c>
      <c r="B342" s="1" t="s">
        <v>1288</v>
      </c>
      <c r="C342" s="1" t="s">
        <v>1289</v>
      </c>
      <c r="D342" s="1" t="s">
        <v>1565</v>
      </c>
      <c r="E342" s="1" t="s">
        <v>9157</v>
      </c>
      <c r="F342" s="1" t="s">
        <v>9158</v>
      </c>
      <c r="G342" t="s">
        <v>9159</v>
      </c>
      <c r="H342">
        <v>2836910</v>
      </c>
      <c r="I342" s="1" t="s">
        <v>9160</v>
      </c>
      <c r="J342" s="44" t="s">
        <v>9161</v>
      </c>
      <c r="K342" s="44" t="s">
        <v>9162</v>
      </c>
      <c r="L342" s="1" t="s">
        <v>9163</v>
      </c>
      <c r="M342" s="1" t="s">
        <v>7058</v>
      </c>
      <c r="N342" s="1" t="s">
        <v>8171</v>
      </c>
    </row>
    <row r="343" spans="1:14">
      <c r="A343" s="1" t="s">
        <v>1402</v>
      </c>
      <c r="B343" s="1" t="s">
        <v>1403</v>
      </c>
      <c r="C343" s="1" t="s">
        <v>1404</v>
      </c>
      <c r="D343" s="1" t="s">
        <v>1570</v>
      </c>
      <c r="E343" s="1" t="s">
        <v>9164</v>
      </c>
      <c r="F343" s="1" t="s">
        <v>9165</v>
      </c>
      <c r="G343" t="s">
        <v>9166</v>
      </c>
      <c r="H343">
        <v>2834418</v>
      </c>
      <c r="I343" s="1" t="s">
        <v>1406</v>
      </c>
      <c r="J343" s="44" t="s">
        <v>1407</v>
      </c>
      <c r="K343" s="44" t="s">
        <v>7805</v>
      </c>
      <c r="L343" s="1" t="s">
        <v>9167</v>
      </c>
      <c r="M343" s="1" t="s">
        <v>7505</v>
      </c>
      <c r="N343" s="1" t="s">
        <v>8102</v>
      </c>
    </row>
    <row r="344" spans="1:14">
      <c r="A344" s="1" t="s">
        <v>2461</v>
      </c>
      <c r="B344" s="1" t="s">
        <v>2462</v>
      </c>
      <c r="C344" s="1" t="s">
        <v>2463</v>
      </c>
      <c r="D344" s="1" t="s">
        <v>1574</v>
      </c>
      <c r="E344" s="1" t="s">
        <v>9168</v>
      </c>
      <c r="F344" s="1" t="s">
        <v>6718</v>
      </c>
      <c r="G344" t="s">
        <v>9169</v>
      </c>
      <c r="H344">
        <v>2785547</v>
      </c>
      <c r="I344" s="1" t="s">
        <v>2465</v>
      </c>
      <c r="J344" s="44" t="s">
        <v>2465</v>
      </c>
      <c r="K344" s="44" t="s">
        <v>5067</v>
      </c>
      <c r="L344" s="1" t="s">
        <v>9170</v>
      </c>
      <c r="M344" s="1" t="s">
        <v>6397</v>
      </c>
      <c r="N344" s="1" t="s">
        <v>8074</v>
      </c>
    </row>
    <row r="345" spans="1:14">
      <c r="A345" s="1" t="s">
        <v>1355</v>
      </c>
      <c r="B345" s="1" t="s">
        <v>1356</v>
      </c>
      <c r="C345" s="1" t="s">
        <v>1357</v>
      </c>
      <c r="D345" s="1" t="s">
        <v>1578</v>
      </c>
      <c r="E345" s="1" t="s">
        <v>9171</v>
      </c>
      <c r="F345" s="1" t="s">
        <v>754</v>
      </c>
      <c r="G345" t="s">
        <v>9172</v>
      </c>
      <c r="H345">
        <v>2754402</v>
      </c>
      <c r="I345" s="1" t="s">
        <v>9173</v>
      </c>
      <c r="J345" s="44" t="s">
        <v>9173</v>
      </c>
      <c r="K345" s="44" t="s">
        <v>5062</v>
      </c>
      <c r="L345" s="1" t="s">
        <v>7183</v>
      </c>
      <c r="M345" s="1" t="s">
        <v>7276</v>
      </c>
      <c r="N345" s="1" t="s">
        <v>8107</v>
      </c>
    </row>
    <row r="346" spans="1:14">
      <c r="A346" s="1" t="s">
        <v>1446</v>
      </c>
      <c r="B346" s="1" t="s">
        <v>1447</v>
      </c>
      <c r="C346" s="1" t="s">
        <v>1448</v>
      </c>
      <c r="D346" s="1" t="s">
        <v>1582</v>
      </c>
      <c r="E346" s="1" t="s">
        <v>9174</v>
      </c>
      <c r="F346" s="1" t="s">
        <v>7696</v>
      </c>
      <c r="G346" t="s">
        <v>9175</v>
      </c>
      <c r="H346">
        <v>2728606</v>
      </c>
      <c r="I346" s="1" t="s">
        <v>1450</v>
      </c>
      <c r="J346" s="44" t="s">
        <v>1450</v>
      </c>
      <c r="K346" s="44" t="s">
        <v>5741</v>
      </c>
      <c r="L346" s="1" t="s">
        <v>6541</v>
      </c>
      <c r="M346" s="1" t="s">
        <v>7491</v>
      </c>
      <c r="N346" s="1" t="s">
        <v>8112</v>
      </c>
    </row>
    <row r="347" spans="1:14">
      <c r="A347" s="1" t="s">
        <v>1443</v>
      </c>
      <c r="B347" s="1" t="s">
        <v>1444</v>
      </c>
      <c r="C347" s="1" t="s">
        <v>1444</v>
      </c>
      <c r="D347" s="1" t="s">
        <v>1586</v>
      </c>
      <c r="E347" s="1" t="s">
        <v>9176</v>
      </c>
      <c r="F347" s="1" t="s">
        <v>5557</v>
      </c>
      <c r="G347" t="s">
        <v>9177</v>
      </c>
      <c r="H347">
        <v>2690350</v>
      </c>
      <c r="I347" s="1" t="s">
        <v>9178</v>
      </c>
      <c r="J347" s="44" t="s">
        <v>9178</v>
      </c>
      <c r="K347" s="44" t="s">
        <v>6218</v>
      </c>
      <c r="L347" s="1" t="s">
        <v>7683</v>
      </c>
      <c r="M347" s="1" t="s">
        <v>7239</v>
      </c>
      <c r="N347" s="1" t="s">
        <v>8137</v>
      </c>
    </row>
    <row r="348" spans="1:14">
      <c r="A348" s="1" t="s">
        <v>1516</v>
      </c>
      <c r="B348" s="1" t="s">
        <v>1517</v>
      </c>
      <c r="C348" s="1" t="s">
        <v>1518</v>
      </c>
      <c r="D348" s="1" t="s">
        <v>1590</v>
      </c>
      <c r="E348" s="1" t="s">
        <v>9179</v>
      </c>
      <c r="F348" s="1" t="s">
        <v>7375</v>
      </c>
      <c r="G348" t="s">
        <v>9180</v>
      </c>
      <c r="H348">
        <v>2578987</v>
      </c>
      <c r="I348" s="1" t="s">
        <v>9181</v>
      </c>
      <c r="J348" s="44" t="s">
        <v>9181</v>
      </c>
      <c r="K348" s="44" t="s">
        <v>7340</v>
      </c>
      <c r="L348" s="1" t="s">
        <v>5894</v>
      </c>
      <c r="M348" s="1" t="s">
        <v>7069</v>
      </c>
      <c r="N348" s="1" t="s">
        <v>8102</v>
      </c>
    </row>
    <row r="349" spans="1:14">
      <c r="A349" s="1" t="s">
        <v>1339</v>
      </c>
      <c r="B349" s="1" t="s">
        <v>1340</v>
      </c>
      <c r="C349" s="1" t="s">
        <v>1341</v>
      </c>
      <c r="D349" s="1" t="s">
        <v>1594</v>
      </c>
      <c r="E349" s="1" t="s">
        <v>9182</v>
      </c>
      <c r="F349" s="1" t="s">
        <v>9183</v>
      </c>
      <c r="G349" t="s">
        <v>9184</v>
      </c>
      <c r="H349">
        <v>2563846</v>
      </c>
      <c r="I349" s="1" t="s">
        <v>6217</v>
      </c>
      <c r="J349" s="44" t="s">
        <v>6217</v>
      </c>
      <c r="K349" s="44" t="s">
        <v>7103</v>
      </c>
      <c r="L349" s="1" t="s">
        <v>6526</v>
      </c>
      <c r="M349" s="1" t="s">
        <v>6565</v>
      </c>
      <c r="N349" s="1" t="s">
        <v>8396</v>
      </c>
    </row>
    <row r="350" spans="1:14">
      <c r="A350" s="1" t="s">
        <v>4933</v>
      </c>
      <c r="B350" s="1" t="s">
        <v>4934</v>
      </c>
      <c r="C350" s="1" t="s">
        <v>4935</v>
      </c>
      <c r="D350" s="1" t="s">
        <v>1598</v>
      </c>
      <c r="E350" s="1" t="s">
        <v>9185</v>
      </c>
      <c r="F350" s="1" t="s">
        <v>9186</v>
      </c>
      <c r="G350" t="s">
        <v>9187</v>
      </c>
      <c r="H350">
        <v>2537765</v>
      </c>
      <c r="I350" s="1" t="s">
        <v>5113</v>
      </c>
      <c r="J350" s="44" t="s">
        <v>53</v>
      </c>
      <c r="K350" s="44" t="s">
        <v>5211</v>
      </c>
      <c r="L350" s="1" t="s">
        <v>7743</v>
      </c>
      <c r="M350" s="1" t="s">
        <v>7488</v>
      </c>
      <c r="N350" s="1" t="s">
        <v>8213</v>
      </c>
    </row>
    <row r="351" spans="1:14">
      <c r="A351" s="1" t="s">
        <v>1480</v>
      </c>
      <c r="B351" s="1" t="s">
        <v>1481</v>
      </c>
      <c r="C351" s="1" t="s">
        <v>1482</v>
      </c>
      <c r="D351" s="1" t="s">
        <v>1602</v>
      </c>
      <c r="E351" s="1" t="s">
        <v>9188</v>
      </c>
      <c r="F351" s="1" t="s">
        <v>7377</v>
      </c>
      <c r="G351" t="s">
        <v>9189</v>
      </c>
      <c r="H351">
        <v>2492374</v>
      </c>
      <c r="I351" s="1" t="s">
        <v>1484</v>
      </c>
      <c r="J351" s="44" t="s">
        <v>1484</v>
      </c>
      <c r="K351" s="44" t="s">
        <v>7447</v>
      </c>
      <c r="L351" s="1" t="s">
        <v>7152</v>
      </c>
      <c r="M351" s="1" t="s">
        <v>5410</v>
      </c>
      <c r="N351" s="1" t="s">
        <v>8107</v>
      </c>
    </row>
    <row r="352" spans="1:14">
      <c r="A352" s="1" t="s">
        <v>1435</v>
      </c>
      <c r="B352" s="1" t="s">
        <v>1436</v>
      </c>
      <c r="C352" s="1" t="s">
        <v>1437</v>
      </c>
      <c r="D352" s="1" t="s">
        <v>1606</v>
      </c>
      <c r="E352" s="1" t="s">
        <v>9190</v>
      </c>
      <c r="F352" s="1" t="s">
        <v>7826</v>
      </c>
      <c r="G352" t="s">
        <v>9191</v>
      </c>
      <c r="H352">
        <v>2482525</v>
      </c>
      <c r="I352" s="1" t="s">
        <v>53</v>
      </c>
      <c r="J352" s="44" t="s">
        <v>53</v>
      </c>
      <c r="K352" s="44" t="s">
        <v>6959</v>
      </c>
      <c r="L352" s="1" t="s">
        <v>9192</v>
      </c>
      <c r="M352" s="1" t="s">
        <v>7987</v>
      </c>
      <c r="N352" s="1" t="s">
        <v>8080</v>
      </c>
    </row>
    <row r="353" spans="1:14">
      <c r="A353" s="1" t="s">
        <v>1745</v>
      </c>
      <c r="B353" s="1" t="s">
        <v>1746</v>
      </c>
      <c r="C353" s="1" t="s">
        <v>1747</v>
      </c>
      <c r="D353" s="1" t="s">
        <v>1611</v>
      </c>
      <c r="E353" s="1" t="s">
        <v>9193</v>
      </c>
      <c r="F353" s="1" t="s">
        <v>7351</v>
      </c>
      <c r="G353" t="s">
        <v>9194</v>
      </c>
      <c r="H353">
        <v>2475930</v>
      </c>
      <c r="I353" s="1" t="s">
        <v>9195</v>
      </c>
      <c r="J353" s="44" t="s">
        <v>9196</v>
      </c>
      <c r="K353" s="44" t="s">
        <v>6306</v>
      </c>
      <c r="L353" s="1" t="s">
        <v>7273</v>
      </c>
      <c r="M353" s="1" t="s">
        <v>9197</v>
      </c>
      <c r="N353" s="1" t="s">
        <v>8112</v>
      </c>
    </row>
    <row r="354" spans="1:14">
      <c r="A354" s="1" t="s">
        <v>1537</v>
      </c>
      <c r="B354" s="1" t="s">
        <v>1538</v>
      </c>
      <c r="C354" s="1" t="s">
        <v>1539</v>
      </c>
      <c r="D354" s="1" t="s">
        <v>1615</v>
      </c>
      <c r="E354" s="1" t="s">
        <v>9198</v>
      </c>
      <c r="F354" s="1" t="s">
        <v>9199</v>
      </c>
      <c r="G354" t="s">
        <v>9200</v>
      </c>
      <c r="H354">
        <v>2440376</v>
      </c>
      <c r="I354" s="1" t="s">
        <v>5909</v>
      </c>
      <c r="J354" s="44" t="s">
        <v>5909</v>
      </c>
      <c r="K354" s="44" t="s">
        <v>5875</v>
      </c>
      <c r="L354" s="1" t="s">
        <v>9201</v>
      </c>
      <c r="M354" s="1" t="s">
        <v>9202</v>
      </c>
      <c r="N354" s="1" t="s">
        <v>8213</v>
      </c>
    </row>
    <row r="355" spans="1:14">
      <c r="A355" s="1" t="s">
        <v>1963</v>
      </c>
      <c r="B355" s="1" t="s">
        <v>1964</v>
      </c>
      <c r="C355" s="1" t="s">
        <v>1965</v>
      </c>
      <c r="D355" s="1" t="s">
        <v>1621</v>
      </c>
      <c r="E355" s="1" t="s">
        <v>9203</v>
      </c>
      <c r="F355" s="1" t="s">
        <v>7101</v>
      </c>
      <c r="G355" t="s">
        <v>9204</v>
      </c>
      <c r="H355">
        <v>2399849</v>
      </c>
      <c r="I355" s="1" t="s">
        <v>5281</v>
      </c>
      <c r="J355" s="44" t="s">
        <v>98</v>
      </c>
      <c r="K355" s="44" t="s">
        <v>7260</v>
      </c>
      <c r="L355" s="1" t="s">
        <v>5547</v>
      </c>
      <c r="M355" s="1" t="s">
        <v>7180</v>
      </c>
      <c r="N355" s="1" t="s">
        <v>8121</v>
      </c>
    </row>
    <row r="356" spans="1:14">
      <c r="A356" s="1" t="s">
        <v>1501</v>
      </c>
      <c r="B356" s="1" t="s">
        <v>1502</v>
      </c>
      <c r="C356" s="1" t="s">
        <v>1503</v>
      </c>
      <c r="D356" s="1" t="s">
        <v>1626</v>
      </c>
      <c r="E356" s="1" t="s">
        <v>9205</v>
      </c>
      <c r="F356" s="1" t="s">
        <v>7973</v>
      </c>
      <c r="G356" t="s">
        <v>9206</v>
      </c>
      <c r="H356">
        <v>2326744</v>
      </c>
      <c r="I356" s="1" t="s">
        <v>1505</v>
      </c>
      <c r="J356" s="44" t="s">
        <v>1506</v>
      </c>
      <c r="K356" s="44" t="s">
        <v>5741</v>
      </c>
      <c r="L356" s="1" t="s">
        <v>7680</v>
      </c>
      <c r="M356" s="1" t="s">
        <v>7265</v>
      </c>
      <c r="N356" s="1" t="s">
        <v>8173</v>
      </c>
    </row>
    <row r="357" spans="1:14">
      <c r="A357" s="1" t="s">
        <v>1512</v>
      </c>
      <c r="B357" s="1" t="s">
        <v>1513</v>
      </c>
      <c r="C357" s="1" t="s">
        <v>1514</v>
      </c>
      <c r="D357" s="1" t="s">
        <v>1631</v>
      </c>
      <c r="E357" s="1" t="s">
        <v>9207</v>
      </c>
      <c r="F357" s="1" t="s">
        <v>7378</v>
      </c>
      <c r="G357" t="s">
        <v>9208</v>
      </c>
      <c r="H357">
        <v>2277500</v>
      </c>
      <c r="I357" s="1" t="s">
        <v>9209</v>
      </c>
      <c r="J357" s="44" t="s">
        <v>9209</v>
      </c>
      <c r="K357" s="44" t="s">
        <v>5110</v>
      </c>
      <c r="L357" s="1" t="s">
        <v>7589</v>
      </c>
      <c r="M357" s="1" t="s">
        <v>8029</v>
      </c>
      <c r="N357" s="1" t="s">
        <v>8102</v>
      </c>
    </row>
    <row r="358" spans="1:14">
      <c r="A358" s="1" t="s">
        <v>1116</v>
      </c>
      <c r="B358" s="1" t="s">
        <v>1117</v>
      </c>
      <c r="C358" s="1" t="s">
        <v>1118</v>
      </c>
      <c r="D358" s="1" t="s">
        <v>1635</v>
      </c>
      <c r="E358" s="1" t="s">
        <v>9210</v>
      </c>
      <c r="F358" s="1" t="s">
        <v>7376</v>
      </c>
      <c r="G358" t="s">
        <v>9211</v>
      </c>
      <c r="H358">
        <v>2249756</v>
      </c>
      <c r="I358" s="1" t="s">
        <v>1120</v>
      </c>
      <c r="J358" s="44" t="s">
        <v>932</v>
      </c>
      <c r="K358" s="44" t="s">
        <v>6523</v>
      </c>
      <c r="L358" s="1" t="s">
        <v>6358</v>
      </c>
      <c r="M358" s="1" t="s">
        <v>9212</v>
      </c>
      <c r="N358" s="1" t="s">
        <v>8171</v>
      </c>
    </row>
    <row r="359" spans="1:14">
      <c r="A359" s="1" t="s">
        <v>1463</v>
      </c>
      <c r="B359" s="1" t="s">
        <v>1464</v>
      </c>
      <c r="C359" s="1" t="s">
        <v>1465</v>
      </c>
      <c r="D359" s="1" t="s">
        <v>1639</v>
      </c>
      <c r="E359" s="1" t="s">
        <v>9213</v>
      </c>
      <c r="F359" s="1" t="s">
        <v>9214</v>
      </c>
      <c r="G359" t="s">
        <v>9215</v>
      </c>
      <c r="H359">
        <v>2216029</v>
      </c>
      <c r="I359" s="1" t="s">
        <v>1467</v>
      </c>
      <c r="J359" s="44" t="s">
        <v>1467</v>
      </c>
      <c r="K359" s="44" t="s">
        <v>6558</v>
      </c>
      <c r="L359" s="1" t="s">
        <v>6574</v>
      </c>
      <c r="M359" s="1" t="s">
        <v>5855</v>
      </c>
      <c r="N359" s="1" t="s">
        <v>8107</v>
      </c>
    </row>
    <row r="360" spans="1:14">
      <c r="A360" s="1" t="s">
        <v>1386</v>
      </c>
      <c r="B360" s="1" t="s">
        <v>1387</v>
      </c>
      <c r="C360" s="1" t="s">
        <v>1388</v>
      </c>
      <c r="D360" s="1" t="s">
        <v>1645</v>
      </c>
      <c r="E360" s="1" t="s">
        <v>9216</v>
      </c>
      <c r="F360" s="1" t="s">
        <v>754</v>
      </c>
      <c r="G360" t="s">
        <v>9217</v>
      </c>
      <c r="H360">
        <v>2180296</v>
      </c>
      <c r="I360" s="1" t="s">
        <v>9218</v>
      </c>
      <c r="J360" s="44" t="s">
        <v>9218</v>
      </c>
      <c r="K360" s="44" t="s">
        <v>5067</v>
      </c>
      <c r="L360" s="1" t="s">
        <v>851</v>
      </c>
      <c r="M360" s="1" t="s">
        <v>6175</v>
      </c>
      <c r="N360" s="1" t="s">
        <v>8085</v>
      </c>
    </row>
    <row r="361" spans="1:14">
      <c r="A361" s="1" t="s">
        <v>1562</v>
      </c>
      <c r="B361" s="1" t="s">
        <v>1563</v>
      </c>
      <c r="C361" s="1" t="s">
        <v>1564</v>
      </c>
      <c r="D361" s="1" t="s">
        <v>1650</v>
      </c>
      <c r="E361" s="1" t="s">
        <v>9219</v>
      </c>
      <c r="F361" s="1" t="s">
        <v>9220</v>
      </c>
      <c r="G361" t="s">
        <v>9221</v>
      </c>
      <c r="H361">
        <v>2101099</v>
      </c>
      <c r="I361" s="1" t="s">
        <v>1566</v>
      </c>
      <c r="J361" s="44" t="s">
        <v>1566</v>
      </c>
      <c r="K361" s="44" t="s">
        <v>6970</v>
      </c>
      <c r="L361" s="1" t="s">
        <v>9222</v>
      </c>
      <c r="M361" s="1" t="s">
        <v>9223</v>
      </c>
      <c r="N361" s="1" t="s">
        <v>8263</v>
      </c>
    </row>
    <row r="362" spans="1:14">
      <c r="A362" s="1" t="s">
        <v>1636</v>
      </c>
      <c r="B362" s="1" t="s">
        <v>1637</v>
      </c>
      <c r="C362" s="1" t="s">
        <v>1638</v>
      </c>
      <c r="D362" s="1" t="s">
        <v>1654</v>
      </c>
      <c r="E362" s="1" t="s">
        <v>9224</v>
      </c>
      <c r="F362" s="1" t="s">
        <v>7975</v>
      </c>
      <c r="G362" t="s">
        <v>9225</v>
      </c>
      <c r="H362">
        <v>2100907</v>
      </c>
      <c r="I362" s="1" t="s">
        <v>1640</v>
      </c>
      <c r="J362" s="44" t="s">
        <v>1641</v>
      </c>
      <c r="K362" s="44" t="s">
        <v>5593</v>
      </c>
      <c r="L362" s="1" t="s">
        <v>7720</v>
      </c>
      <c r="M362" s="1" t="s">
        <v>7639</v>
      </c>
      <c r="N362" s="1" t="s">
        <v>8173</v>
      </c>
    </row>
    <row r="363" spans="1:14">
      <c r="A363" s="1" t="s">
        <v>1533</v>
      </c>
      <c r="B363" s="1" t="s">
        <v>1534</v>
      </c>
      <c r="C363" s="1" t="s">
        <v>1535</v>
      </c>
      <c r="D363" s="1" t="s">
        <v>1658</v>
      </c>
      <c r="E363" s="1" t="s">
        <v>9226</v>
      </c>
      <c r="F363" s="1" t="s">
        <v>9227</v>
      </c>
      <c r="G363" t="s">
        <v>9228</v>
      </c>
      <c r="H363">
        <v>2097253</v>
      </c>
      <c r="I363" s="1" t="s">
        <v>6721</v>
      </c>
      <c r="J363" s="44" t="s">
        <v>53</v>
      </c>
      <c r="K363" s="44" t="s">
        <v>6964</v>
      </c>
      <c r="L363" s="1" t="s">
        <v>7848</v>
      </c>
      <c r="M363" s="1" t="s">
        <v>7948</v>
      </c>
      <c r="N363" s="1" t="s">
        <v>8162</v>
      </c>
    </row>
    <row r="364" spans="1:14">
      <c r="A364" s="1" t="s">
        <v>1618</v>
      </c>
      <c r="B364" s="1" t="s">
        <v>1619</v>
      </c>
      <c r="C364" s="1" t="s">
        <v>1620</v>
      </c>
      <c r="D364" s="1" t="s">
        <v>1662</v>
      </c>
      <c r="E364" s="1" t="s">
        <v>9229</v>
      </c>
      <c r="F364" s="1" t="s">
        <v>7976</v>
      </c>
      <c r="G364" t="s">
        <v>9230</v>
      </c>
      <c r="H364">
        <v>2073727</v>
      </c>
      <c r="I364" s="1" t="s">
        <v>1622</v>
      </c>
      <c r="J364" s="44" t="s">
        <v>1622</v>
      </c>
      <c r="K364" s="44" t="s">
        <v>5386</v>
      </c>
      <c r="L364" s="1" t="s">
        <v>6571</v>
      </c>
      <c r="M364" s="1" t="s">
        <v>7040</v>
      </c>
      <c r="N364" s="1" t="s">
        <v>8121</v>
      </c>
    </row>
    <row r="365" spans="1:14">
      <c r="A365" s="1" t="s">
        <v>1459</v>
      </c>
      <c r="B365" s="1" t="s">
        <v>1460</v>
      </c>
      <c r="C365" s="1" t="s">
        <v>1461</v>
      </c>
      <c r="D365" s="1" t="s">
        <v>1666</v>
      </c>
      <c r="E365" s="1" t="s">
        <v>7828</v>
      </c>
      <c r="F365" s="1" t="s">
        <v>9231</v>
      </c>
      <c r="G365" t="s">
        <v>9232</v>
      </c>
      <c r="H365">
        <v>2020460</v>
      </c>
      <c r="I365" s="1" t="s">
        <v>208</v>
      </c>
      <c r="J365" s="44" t="s">
        <v>1286</v>
      </c>
      <c r="K365" s="44" t="s">
        <v>5062</v>
      </c>
      <c r="L365" s="1" t="s">
        <v>6296</v>
      </c>
      <c r="M365" s="1" t="s">
        <v>6488</v>
      </c>
      <c r="N365" s="1" t="s">
        <v>8102</v>
      </c>
    </row>
    <row r="366" spans="1:14">
      <c r="A366" s="1" t="s">
        <v>6222</v>
      </c>
      <c r="B366" s="1" t="s">
        <v>6223</v>
      </c>
      <c r="C366" s="1" t="s">
        <v>6224</v>
      </c>
      <c r="D366" s="1" t="s">
        <v>1671</v>
      </c>
      <c r="E366" s="1" t="s">
        <v>9233</v>
      </c>
      <c r="F366" s="1" t="s">
        <v>9234</v>
      </c>
      <c r="G366" t="s">
        <v>9235</v>
      </c>
      <c r="H366">
        <v>2005218</v>
      </c>
      <c r="I366" s="1" t="s">
        <v>6225</v>
      </c>
      <c r="J366" s="44" t="s">
        <v>6225</v>
      </c>
      <c r="K366" s="44" t="s">
        <v>7119</v>
      </c>
      <c r="L366" s="1"/>
      <c r="M366" s="1"/>
      <c r="N366" s="1" t="s">
        <v>8437</v>
      </c>
    </row>
    <row r="367" spans="1:14">
      <c r="A367" s="1" t="s">
        <v>1308</v>
      </c>
      <c r="B367" s="1" t="s">
        <v>1309</v>
      </c>
      <c r="C367" s="1" t="s">
        <v>1310</v>
      </c>
      <c r="D367" s="1" t="s">
        <v>1675</v>
      </c>
      <c r="E367" s="1" t="s">
        <v>9236</v>
      </c>
      <c r="F367" s="1" t="s">
        <v>754</v>
      </c>
      <c r="G367" t="s">
        <v>9237</v>
      </c>
      <c r="H367">
        <v>1987735</v>
      </c>
      <c r="I367" s="1" t="s">
        <v>9238</v>
      </c>
      <c r="J367" s="44" t="s">
        <v>9238</v>
      </c>
      <c r="K367" s="44" t="s">
        <v>5049</v>
      </c>
      <c r="L367" s="1" t="s">
        <v>6397</v>
      </c>
      <c r="M367" s="1" t="s">
        <v>7046</v>
      </c>
      <c r="N367" s="1" t="s">
        <v>8263</v>
      </c>
    </row>
    <row r="368" spans="1:14">
      <c r="A368" s="1" t="s">
        <v>2496</v>
      </c>
      <c r="B368" s="1" t="s">
        <v>2497</v>
      </c>
      <c r="C368" s="1" t="s">
        <v>2498</v>
      </c>
      <c r="D368" s="1" t="s">
        <v>1679</v>
      </c>
      <c r="E368" s="1" t="s">
        <v>9239</v>
      </c>
      <c r="F368" s="1" t="s">
        <v>6655</v>
      </c>
      <c r="G368" t="s">
        <v>9240</v>
      </c>
      <c r="H368">
        <v>1952220</v>
      </c>
      <c r="I368" s="1" t="s">
        <v>54</v>
      </c>
      <c r="J368" s="44" t="s">
        <v>54</v>
      </c>
      <c r="K368" s="44" t="s">
        <v>9241</v>
      </c>
      <c r="L368" s="1" t="s">
        <v>9242</v>
      </c>
      <c r="M368" s="1"/>
      <c r="N368" s="1" t="s">
        <v>8133</v>
      </c>
    </row>
    <row r="369" spans="1:14">
      <c r="A369" s="1" t="s">
        <v>1189</v>
      </c>
      <c r="B369" s="1" t="s">
        <v>1190</v>
      </c>
      <c r="C369" s="1" t="s">
        <v>1191</v>
      </c>
      <c r="D369" s="1" t="s">
        <v>1683</v>
      </c>
      <c r="E369" s="1" t="s">
        <v>9243</v>
      </c>
      <c r="F369" s="1" t="s">
        <v>9244</v>
      </c>
      <c r="G369" t="s">
        <v>9245</v>
      </c>
      <c r="H369">
        <v>1919885</v>
      </c>
      <c r="I369" s="1" t="s">
        <v>6221</v>
      </c>
      <c r="J369" s="44" t="s">
        <v>6221</v>
      </c>
      <c r="K369" s="44" t="s">
        <v>5001</v>
      </c>
      <c r="L369" s="1" t="s">
        <v>7991</v>
      </c>
      <c r="M369" s="1" t="s">
        <v>7977</v>
      </c>
      <c r="N369" s="1" t="s">
        <v>8098</v>
      </c>
    </row>
    <row r="370" spans="1:14">
      <c r="A370" s="1" t="s">
        <v>5159</v>
      </c>
      <c r="B370" s="1" t="s">
        <v>5160</v>
      </c>
      <c r="C370" s="1" t="s">
        <v>5161</v>
      </c>
      <c r="D370" s="1" t="s">
        <v>1688</v>
      </c>
      <c r="E370" s="1" t="s">
        <v>9246</v>
      </c>
      <c r="F370" s="1" t="s">
        <v>7118</v>
      </c>
      <c r="G370" t="s">
        <v>9247</v>
      </c>
      <c r="H370">
        <v>1889463</v>
      </c>
      <c r="I370" s="1" t="s">
        <v>5683</v>
      </c>
      <c r="J370" s="44" t="s">
        <v>5684</v>
      </c>
      <c r="K370" s="44" t="s">
        <v>5774</v>
      </c>
      <c r="L370" s="1" t="s">
        <v>9248</v>
      </c>
      <c r="M370" s="1" t="s">
        <v>9249</v>
      </c>
      <c r="N370" s="1" t="s">
        <v>8140</v>
      </c>
    </row>
    <row r="371" spans="1:14">
      <c r="A371" s="1" t="s">
        <v>5060</v>
      </c>
      <c r="B371" s="1" t="s">
        <v>1585</v>
      </c>
      <c r="C371" s="1" t="s">
        <v>1585</v>
      </c>
      <c r="D371" s="1" t="s">
        <v>1694</v>
      </c>
      <c r="E371" s="1" t="s">
        <v>9250</v>
      </c>
      <c r="F371" s="1" t="s">
        <v>754</v>
      </c>
      <c r="G371" t="s">
        <v>9251</v>
      </c>
      <c r="H371">
        <v>1832051</v>
      </c>
      <c r="I371" s="1" t="s">
        <v>5058</v>
      </c>
      <c r="J371" s="44" t="s">
        <v>5058</v>
      </c>
      <c r="K371" s="44" t="s">
        <v>6143</v>
      </c>
      <c r="L371" s="1" t="s">
        <v>9252</v>
      </c>
      <c r="M371" s="1" t="s">
        <v>5889</v>
      </c>
      <c r="N371" s="1" t="s">
        <v>8190</v>
      </c>
    </row>
    <row r="372" spans="1:14">
      <c r="A372" s="1" t="s">
        <v>1257</v>
      </c>
      <c r="B372" s="1" t="s">
        <v>1258</v>
      </c>
      <c r="C372" s="1" t="s">
        <v>1259</v>
      </c>
      <c r="D372" s="1" t="s">
        <v>1698</v>
      </c>
      <c r="E372" s="1" t="s">
        <v>9253</v>
      </c>
      <c r="F372" s="1" t="s">
        <v>754</v>
      </c>
      <c r="G372" t="s">
        <v>9254</v>
      </c>
      <c r="H372">
        <v>1806662</v>
      </c>
      <c r="I372" s="1" t="s">
        <v>9255</v>
      </c>
      <c r="J372" s="44" t="s">
        <v>9255</v>
      </c>
      <c r="K372" s="44" t="s">
        <v>5538</v>
      </c>
      <c r="L372" s="1" t="s">
        <v>7518</v>
      </c>
      <c r="M372" s="1" t="s">
        <v>6492</v>
      </c>
      <c r="N372" s="1" t="s">
        <v>8070</v>
      </c>
    </row>
    <row r="373" spans="1:14">
      <c r="A373" s="1" t="s">
        <v>1753</v>
      </c>
      <c r="B373" s="1" t="s">
        <v>1754</v>
      </c>
      <c r="C373" s="1" t="s">
        <v>1755</v>
      </c>
      <c r="D373" s="1" t="s">
        <v>1702</v>
      </c>
      <c r="E373" s="1" t="s">
        <v>9256</v>
      </c>
      <c r="F373" s="1" t="s">
        <v>6346</v>
      </c>
      <c r="G373" t="s">
        <v>9257</v>
      </c>
      <c r="H373">
        <v>1782202</v>
      </c>
      <c r="I373" s="1" t="s">
        <v>1757</v>
      </c>
      <c r="J373" s="44" t="s">
        <v>1757</v>
      </c>
      <c r="K373" s="44" t="s">
        <v>5062</v>
      </c>
      <c r="L373" s="1" t="s">
        <v>5383</v>
      </c>
      <c r="M373" s="1" t="s">
        <v>9258</v>
      </c>
      <c r="N373" s="1" t="s">
        <v>8162</v>
      </c>
    </row>
    <row r="374" spans="1:14">
      <c r="A374" s="1" t="s">
        <v>3040</v>
      </c>
      <c r="B374" s="1" t="s">
        <v>3041</v>
      </c>
      <c r="C374" s="1" t="s">
        <v>3042</v>
      </c>
      <c r="D374" s="1" t="s">
        <v>1708</v>
      </c>
      <c r="E374" s="1" t="s">
        <v>9259</v>
      </c>
      <c r="F374" s="1" t="s">
        <v>9260</v>
      </c>
      <c r="G374" t="s">
        <v>9261</v>
      </c>
      <c r="H374">
        <v>1767277</v>
      </c>
      <c r="I374" s="1" t="s">
        <v>9262</v>
      </c>
      <c r="J374" s="44" t="s">
        <v>9262</v>
      </c>
      <c r="K374" s="44" t="s">
        <v>6980</v>
      </c>
      <c r="L374" s="1" t="s">
        <v>9263</v>
      </c>
      <c r="M374" s="1" t="s">
        <v>7545</v>
      </c>
      <c r="N374" s="1" t="s">
        <v>8121</v>
      </c>
    </row>
    <row r="375" spans="1:14">
      <c r="A375" s="1" t="s">
        <v>1655</v>
      </c>
      <c r="B375" s="1" t="s">
        <v>1656</v>
      </c>
      <c r="C375" s="1" t="s">
        <v>1657</v>
      </c>
      <c r="D375" s="1" t="s">
        <v>1714</v>
      </c>
      <c r="E375" s="1" t="s">
        <v>9264</v>
      </c>
      <c r="F375" s="1" t="s">
        <v>7830</v>
      </c>
      <c r="G375" t="s">
        <v>9265</v>
      </c>
      <c r="H375">
        <v>1751051</v>
      </c>
      <c r="I375" s="1" t="s">
        <v>9266</v>
      </c>
      <c r="J375" s="44" t="s">
        <v>9266</v>
      </c>
      <c r="K375" s="44" t="s">
        <v>5067</v>
      </c>
      <c r="L375" s="1" t="s">
        <v>6413</v>
      </c>
      <c r="M375" s="1" t="s">
        <v>5970</v>
      </c>
      <c r="N375" s="1" t="s">
        <v>8263</v>
      </c>
    </row>
    <row r="376" spans="1:14">
      <c r="A376" s="1" t="s">
        <v>1599</v>
      </c>
      <c r="B376" s="1" t="s">
        <v>1600</v>
      </c>
      <c r="C376" s="1" t="s">
        <v>1601</v>
      </c>
      <c r="D376" s="1" t="s">
        <v>1718</v>
      </c>
      <c r="E376" s="1" t="s">
        <v>9267</v>
      </c>
      <c r="F376" s="1" t="s">
        <v>6689</v>
      </c>
      <c r="G376" t="s">
        <v>9268</v>
      </c>
      <c r="H376">
        <v>1747570</v>
      </c>
      <c r="I376" s="1" t="s">
        <v>9269</v>
      </c>
      <c r="J376" s="44" t="s">
        <v>9269</v>
      </c>
      <c r="K376" s="44" t="s">
        <v>5001</v>
      </c>
      <c r="L376" s="1" t="s">
        <v>7252</v>
      </c>
      <c r="M376" s="1" t="s">
        <v>7161</v>
      </c>
      <c r="N376" s="1" t="s">
        <v>8186</v>
      </c>
    </row>
    <row r="377" spans="1:14">
      <c r="A377" s="1" t="s">
        <v>1472</v>
      </c>
      <c r="B377" s="1" t="s">
        <v>1473</v>
      </c>
      <c r="C377" s="1" t="s">
        <v>1474</v>
      </c>
      <c r="D377" s="1" t="s">
        <v>1724</v>
      </c>
      <c r="E377" s="1" t="s">
        <v>9270</v>
      </c>
      <c r="F377" s="1" t="s">
        <v>9271</v>
      </c>
      <c r="G377" t="s">
        <v>9272</v>
      </c>
      <c r="H377">
        <v>1692779</v>
      </c>
      <c r="I377" s="1" t="s">
        <v>9273</v>
      </c>
      <c r="J377" s="44" t="s">
        <v>9273</v>
      </c>
      <c r="K377" s="44" t="s">
        <v>7498</v>
      </c>
      <c r="L377" s="1" t="s">
        <v>7050</v>
      </c>
      <c r="M377" s="1" t="s">
        <v>7602</v>
      </c>
      <c r="N377" s="1" t="s">
        <v>8190</v>
      </c>
    </row>
    <row r="378" spans="1:14">
      <c r="A378" s="1" t="s">
        <v>1557</v>
      </c>
      <c r="B378" s="1" t="s">
        <v>1558</v>
      </c>
      <c r="C378" s="1" t="s">
        <v>1559</v>
      </c>
      <c r="D378" s="1" t="s">
        <v>1729</v>
      </c>
      <c r="E378" s="1" t="s">
        <v>9274</v>
      </c>
      <c r="F378" s="1" t="s">
        <v>9275</v>
      </c>
      <c r="G378" t="s">
        <v>9276</v>
      </c>
      <c r="H378">
        <v>1670157</v>
      </c>
      <c r="I378" s="1" t="s">
        <v>1561</v>
      </c>
      <c r="J378" s="44" t="s">
        <v>54</v>
      </c>
      <c r="K378" s="44" t="s">
        <v>5387</v>
      </c>
      <c r="L378" s="1" t="s">
        <v>6579</v>
      </c>
      <c r="M378" s="1" t="s">
        <v>6063</v>
      </c>
      <c r="N378" s="1" t="s">
        <v>8186</v>
      </c>
    </row>
    <row r="379" spans="1:14">
      <c r="A379" s="1" t="s">
        <v>1663</v>
      </c>
      <c r="B379" s="1" t="s">
        <v>1664</v>
      </c>
      <c r="C379" s="1" t="s">
        <v>1665</v>
      </c>
      <c r="D379" s="1" t="s">
        <v>1733</v>
      </c>
      <c r="E379" s="1" t="s">
        <v>9277</v>
      </c>
      <c r="F379" s="1" t="s">
        <v>9278</v>
      </c>
      <c r="G379" t="s">
        <v>9279</v>
      </c>
      <c r="H379">
        <v>1657397</v>
      </c>
      <c r="I379" s="1" t="s">
        <v>1667</v>
      </c>
      <c r="J379" s="44" t="s">
        <v>54</v>
      </c>
      <c r="K379" s="44" t="s">
        <v>5767</v>
      </c>
      <c r="L379" s="1" t="s">
        <v>6158</v>
      </c>
      <c r="M379" s="1" t="s">
        <v>7286</v>
      </c>
      <c r="N379" s="1" t="s">
        <v>8102</v>
      </c>
    </row>
    <row r="380" spans="1:14">
      <c r="A380" s="1" t="s">
        <v>1608</v>
      </c>
      <c r="B380" s="1" t="s">
        <v>1609</v>
      </c>
      <c r="C380" s="1" t="s">
        <v>1610</v>
      </c>
      <c r="D380" s="1" t="s">
        <v>1737</v>
      </c>
      <c r="E380" s="1" t="s">
        <v>9280</v>
      </c>
      <c r="F380" s="1" t="s">
        <v>7700</v>
      </c>
      <c r="G380" t="s">
        <v>9281</v>
      </c>
      <c r="H380">
        <v>1652014</v>
      </c>
      <c r="I380" s="1" t="s">
        <v>9282</v>
      </c>
      <c r="J380" s="44" t="s">
        <v>9282</v>
      </c>
      <c r="K380" s="44" t="s">
        <v>5415</v>
      </c>
      <c r="L380" s="1" t="s">
        <v>6319</v>
      </c>
      <c r="M380" s="1" t="s">
        <v>9283</v>
      </c>
      <c r="N380" s="1" t="s">
        <v>8085</v>
      </c>
    </row>
    <row r="381" spans="1:14">
      <c r="A381" s="1" t="s">
        <v>1721</v>
      </c>
      <c r="B381" s="1" t="s">
        <v>1722</v>
      </c>
      <c r="C381" s="1" t="s">
        <v>1723</v>
      </c>
      <c r="D381" s="1" t="s">
        <v>1742</v>
      </c>
      <c r="E381" s="1" t="s">
        <v>9284</v>
      </c>
      <c r="F381" s="1" t="s">
        <v>9285</v>
      </c>
      <c r="G381" t="s">
        <v>9286</v>
      </c>
      <c r="H381">
        <v>1645324</v>
      </c>
      <c r="I381" s="1" t="s">
        <v>6226</v>
      </c>
      <c r="J381" s="44" t="s">
        <v>1725</v>
      </c>
      <c r="K381" s="44" t="s">
        <v>5101</v>
      </c>
      <c r="L381" s="1" t="s">
        <v>5689</v>
      </c>
      <c r="M381" s="1" t="s">
        <v>6098</v>
      </c>
      <c r="N381" s="1" t="s">
        <v>8098</v>
      </c>
    </row>
    <row r="382" spans="1:14">
      <c r="A382" s="1" t="s">
        <v>1659</v>
      </c>
      <c r="B382" s="1" t="s">
        <v>1660</v>
      </c>
      <c r="C382" s="1" t="s">
        <v>1661</v>
      </c>
      <c r="D382" s="1" t="s">
        <v>1748</v>
      </c>
      <c r="E382" s="1" t="s">
        <v>9287</v>
      </c>
      <c r="F382" s="1" t="s">
        <v>7832</v>
      </c>
      <c r="G382" t="s">
        <v>9288</v>
      </c>
      <c r="H382">
        <v>1617395</v>
      </c>
      <c r="I382" s="1" t="s">
        <v>9289</v>
      </c>
      <c r="J382" s="44" t="s">
        <v>9290</v>
      </c>
      <c r="K382" s="44" t="s">
        <v>5757</v>
      </c>
      <c r="L382" s="1" t="s">
        <v>5137</v>
      </c>
      <c r="M382" s="1" t="s">
        <v>7475</v>
      </c>
      <c r="N382" s="1" t="s">
        <v>8186</v>
      </c>
    </row>
    <row r="383" spans="1:14">
      <c r="A383" s="1" t="s">
        <v>1416</v>
      </c>
      <c r="B383" s="1" t="s">
        <v>1417</v>
      </c>
      <c r="C383" s="1" t="s">
        <v>1418</v>
      </c>
      <c r="D383" s="1" t="s">
        <v>1752</v>
      </c>
      <c r="E383" s="1" t="s">
        <v>9291</v>
      </c>
      <c r="F383" s="1" t="s">
        <v>2203</v>
      </c>
      <c r="G383" t="s">
        <v>9292</v>
      </c>
      <c r="H383">
        <v>1598221</v>
      </c>
      <c r="I383" s="1" t="s">
        <v>1420</v>
      </c>
      <c r="J383" s="44" t="s">
        <v>1420</v>
      </c>
      <c r="K383" s="44" t="s">
        <v>5843</v>
      </c>
      <c r="L383" s="1" t="s">
        <v>7096</v>
      </c>
      <c r="M383" s="1" t="s">
        <v>6981</v>
      </c>
      <c r="N383" s="1" t="s">
        <v>8080</v>
      </c>
    </row>
    <row r="384" spans="1:14">
      <c r="A384" s="1" t="s">
        <v>1796</v>
      </c>
      <c r="B384" s="1" t="s">
        <v>1797</v>
      </c>
      <c r="C384" s="1" t="s">
        <v>1798</v>
      </c>
      <c r="D384" s="1" t="s">
        <v>1756</v>
      </c>
      <c r="E384" s="1" t="s">
        <v>9293</v>
      </c>
      <c r="F384" s="1" t="s">
        <v>6078</v>
      </c>
      <c r="G384" t="s">
        <v>9294</v>
      </c>
      <c r="H384">
        <v>1597470</v>
      </c>
      <c r="I384" s="1" t="s">
        <v>54</v>
      </c>
      <c r="J384" s="44" t="s">
        <v>54</v>
      </c>
      <c r="K384" s="44" t="s">
        <v>9295</v>
      </c>
      <c r="L384" s="1" t="s">
        <v>6274</v>
      </c>
      <c r="M384" s="1" t="s">
        <v>9296</v>
      </c>
      <c r="N384" s="1" t="s">
        <v>8162</v>
      </c>
    </row>
    <row r="385" spans="1:14">
      <c r="A385" s="1" t="s">
        <v>1642</v>
      </c>
      <c r="B385" s="1" t="s">
        <v>1643</v>
      </c>
      <c r="C385" s="1" t="s">
        <v>1644</v>
      </c>
      <c r="D385" s="1" t="s">
        <v>1761</v>
      </c>
      <c r="E385" s="1" t="s">
        <v>9297</v>
      </c>
      <c r="F385" s="1" t="s">
        <v>7111</v>
      </c>
      <c r="G385" t="s">
        <v>9298</v>
      </c>
      <c r="H385">
        <v>1580085</v>
      </c>
      <c r="I385" s="1" t="s">
        <v>1646</v>
      </c>
      <c r="J385" s="44" t="s">
        <v>1646</v>
      </c>
      <c r="K385" s="44" t="s">
        <v>6319</v>
      </c>
      <c r="L385" s="1" t="s">
        <v>7110</v>
      </c>
      <c r="M385" s="1" t="s">
        <v>7978</v>
      </c>
      <c r="N385" s="1" t="s">
        <v>8263</v>
      </c>
    </row>
    <row r="386" spans="1:14">
      <c r="A386" s="1" t="s">
        <v>1623</v>
      </c>
      <c r="B386" s="1" t="s">
        <v>1624</v>
      </c>
      <c r="C386" s="1" t="s">
        <v>1625</v>
      </c>
      <c r="D386" s="1" t="s">
        <v>1765</v>
      </c>
      <c r="E386" s="1" t="s">
        <v>9299</v>
      </c>
      <c r="F386" s="1" t="s">
        <v>6723</v>
      </c>
      <c r="G386" t="s">
        <v>9300</v>
      </c>
      <c r="H386">
        <v>1565957</v>
      </c>
      <c r="I386" s="1" t="s">
        <v>1627</v>
      </c>
      <c r="J386" s="44" t="s">
        <v>361</v>
      </c>
      <c r="K386" s="44" t="s">
        <v>5062</v>
      </c>
      <c r="L386" s="1" t="s">
        <v>7761</v>
      </c>
      <c r="M386" s="1" t="s">
        <v>7030</v>
      </c>
      <c r="N386" s="1" t="s">
        <v>8133</v>
      </c>
    </row>
    <row r="387" spans="1:14">
      <c r="A387" s="1" t="s">
        <v>1485</v>
      </c>
      <c r="B387" s="1" t="s">
        <v>1486</v>
      </c>
      <c r="C387" s="1" t="s">
        <v>1487</v>
      </c>
      <c r="D387" s="1" t="s">
        <v>1770</v>
      </c>
      <c r="E387" s="1" t="s">
        <v>9301</v>
      </c>
      <c r="F387" s="1" t="s">
        <v>9302</v>
      </c>
      <c r="G387" t="s">
        <v>9303</v>
      </c>
      <c r="H387">
        <v>1555611</v>
      </c>
      <c r="I387" s="1" t="s">
        <v>1001</v>
      </c>
      <c r="J387" s="44" t="s">
        <v>1489</v>
      </c>
      <c r="K387" s="44" t="s">
        <v>5088</v>
      </c>
      <c r="L387" s="1" t="s">
        <v>9304</v>
      </c>
      <c r="M387" s="1" t="s">
        <v>8003</v>
      </c>
      <c r="N387" s="1" t="s">
        <v>8171</v>
      </c>
    </row>
    <row r="388" spans="1:14">
      <c r="A388" s="1" t="s">
        <v>1270</v>
      </c>
      <c r="B388" s="1" t="s">
        <v>1271</v>
      </c>
      <c r="C388" s="1" t="s">
        <v>1272</v>
      </c>
      <c r="D388" s="1" t="s">
        <v>1775</v>
      </c>
      <c r="E388" s="1" t="s">
        <v>9305</v>
      </c>
      <c r="F388" s="1" t="s">
        <v>6254</v>
      </c>
      <c r="G388" t="s">
        <v>9306</v>
      </c>
      <c r="H388">
        <v>1513940</v>
      </c>
      <c r="I388" s="1" t="s">
        <v>9307</v>
      </c>
      <c r="J388" s="44" t="s">
        <v>9307</v>
      </c>
      <c r="K388" s="44" t="s">
        <v>6593</v>
      </c>
      <c r="L388" s="1" t="s">
        <v>6482</v>
      </c>
      <c r="M388" s="1" t="s">
        <v>9308</v>
      </c>
      <c r="N388" s="1" t="s">
        <v>8085</v>
      </c>
    </row>
    <row r="389" spans="1:14">
      <c r="A389" s="1" t="s">
        <v>1632</v>
      </c>
      <c r="B389" s="1" t="s">
        <v>1633</v>
      </c>
      <c r="C389" s="1" t="s">
        <v>1634</v>
      </c>
      <c r="D389" s="1" t="s">
        <v>1779</v>
      </c>
      <c r="E389" s="1" t="s">
        <v>9309</v>
      </c>
      <c r="F389" s="1" t="s">
        <v>7112</v>
      </c>
      <c r="G389" t="s">
        <v>9310</v>
      </c>
      <c r="H389">
        <v>1512213</v>
      </c>
      <c r="I389" s="1" t="s">
        <v>9311</v>
      </c>
      <c r="J389" s="44" t="s">
        <v>9311</v>
      </c>
      <c r="K389" s="44" t="s">
        <v>6626</v>
      </c>
      <c r="L389" s="1" t="s">
        <v>6470</v>
      </c>
      <c r="M389" s="1" t="s">
        <v>7450</v>
      </c>
      <c r="N389" s="1" t="s">
        <v>8173</v>
      </c>
    </row>
    <row r="390" spans="1:14">
      <c r="A390" s="1" t="s">
        <v>1587</v>
      </c>
      <c r="B390" s="1" t="s">
        <v>1588</v>
      </c>
      <c r="C390" s="1" t="s">
        <v>1589</v>
      </c>
      <c r="D390" s="1" t="s">
        <v>1783</v>
      </c>
      <c r="E390" s="1" t="s">
        <v>9312</v>
      </c>
      <c r="F390" s="1" t="s">
        <v>7979</v>
      </c>
      <c r="G390" t="s">
        <v>9313</v>
      </c>
      <c r="H390">
        <v>1505142</v>
      </c>
      <c r="I390" s="1" t="s">
        <v>9314</v>
      </c>
      <c r="J390" s="44" t="s">
        <v>9315</v>
      </c>
      <c r="K390" s="44" t="s">
        <v>5241</v>
      </c>
      <c r="L390" s="1" t="s">
        <v>7742</v>
      </c>
      <c r="M390" s="1" t="s">
        <v>5829</v>
      </c>
      <c r="N390" s="1" t="s">
        <v>8171</v>
      </c>
    </row>
    <row r="391" spans="1:14">
      <c r="A391" s="1" t="s">
        <v>1541</v>
      </c>
      <c r="B391" s="1" t="s">
        <v>1542</v>
      </c>
      <c r="C391" s="1" t="s">
        <v>1543</v>
      </c>
      <c r="D391" s="1" t="s">
        <v>1787</v>
      </c>
      <c r="E391" s="1" t="s">
        <v>9316</v>
      </c>
      <c r="F391" s="1" t="s">
        <v>7610</v>
      </c>
      <c r="G391" t="s">
        <v>9317</v>
      </c>
      <c r="H391">
        <v>1499666</v>
      </c>
      <c r="I391" s="1" t="s">
        <v>1545</v>
      </c>
      <c r="J391" s="44" t="s">
        <v>1546</v>
      </c>
      <c r="K391" s="44" t="s">
        <v>5946</v>
      </c>
      <c r="L391" s="1" t="s">
        <v>6177</v>
      </c>
      <c r="M391" s="1" t="s">
        <v>7124</v>
      </c>
      <c r="N391" s="1" t="s">
        <v>8080</v>
      </c>
    </row>
    <row r="392" spans="1:14">
      <c r="A392" s="1" t="s">
        <v>1330</v>
      </c>
      <c r="B392" s="1" t="s">
        <v>1331</v>
      </c>
      <c r="C392" s="1" t="s">
        <v>1332</v>
      </c>
      <c r="D392" s="1" t="s">
        <v>1791</v>
      </c>
      <c r="E392" s="1" t="s">
        <v>9318</v>
      </c>
      <c r="F392" s="1" t="s">
        <v>9319</v>
      </c>
      <c r="G392" t="s">
        <v>9320</v>
      </c>
      <c r="H392">
        <v>1476169</v>
      </c>
      <c r="I392" s="1" t="s">
        <v>9321</v>
      </c>
      <c r="J392" s="44" t="s">
        <v>9321</v>
      </c>
      <c r="K392" s="44" t="s">
        <v>6354</v>
      </c>
      <c r="L392" s="1" t="s">
        <v>8020</v>
      </c>
      <c r="M392" s="1" t="s">
        <v>9322</v>
      </c>
      <c r="N392" s="1" t="s">
        <v>8186</v>
      </c>
    </row>
    <row r="393" spans="1:14">
      <c r="A393" s="1" t="s">
        <v>2222</v>
      </c>
      <c r="B393" s="1" t="s">
        <v>2223</v>
      </c>
      <c r="C393" s="1" t="s">
        <v>2224</v>
      </c>
      <c r="D393" s="1" t="s">
        <v>1795</v>
      </c>
      <c r="E393" s="1" t="s">
        <v>9323</v>
      </c>
      <c r="F393" s="1" t="s">
        <v>5512</v>
      </c>
      <c r="G393" t="s">
        <v>9324</v>
      </c>
      <c r="H393">
        <v>1468929</v>
      </c>
      <c r="I393" s="1" t="s">
        <v>9325</v>
      </c>
      <c r="J393" s="44" t="s">
        <v>9325</v>
      </c>
      <c r="K393" s="44" t="s">
        <v>5908</v>
      </c>
      <c r="L393" s="1" t="s">
        <v>9326</v>
      </c>
      <c r="M393" s="1" t="s">
        <v>9327</v>
      </c>
      <c r="N393" s="1" t="s">
        <v>8171</v>
      </c>
    </row>
    <row r="394" spans="1:14">
      <c r="A394" s="1" t="s">
        <v>1920</v>
      </c>
      <c r="B394" s="1" t="s">
        <v>1921</v>
      </c>
      <c r="C394" s="1" t="s">
        <v>1922</v>
      </c>
      <c r="D394" s="1" t="s">
        <v>1799</v>
      </c>
      <c r="E394" s="1" t="s">
        <v>9328</v>
      </c>
      <c r="F394" s="1" t="s">
        <v>7835</v>
      </c>
      <c r="G394" t="s">
        <v>9329</v>
      </c>
      <c r="H394">
        <v>1457738</v>
      </c>
      <c r="I394" s="1" t="s">
        <v>9330</v>
      </c>
      <c r="J394" s="44" t="s">
        <v>9330</v>
      </c>
      <c r="K394" s="44" t="s">
        <v>7406</v>
      </c>
      <c r="L394" s="1" t="s">
        <v>9331</v>
      </c>
      <c r="M394" s="1" t="s">
        <v>7854</v>
      </c>
      <c r="N394" s="1" t="s">
        <v>8102</v>
      </c>
    </row>
    <row r="395" spans="1:14">
      <c r="A395" s="1" t="s">
        <v>1451</v>
      </c>
      <c r="B395" s="1" t="s">
        <v>1452</v>
      </c>
      <c r="C395" s="1" t="s">
        <v>1453</v>
      </c>
      <c r="D395" s="1" t="s">
        <v>1803</v>
      </c>
      <c r="E395" s="1" t="s">
        <v>9332</v>
      </c>
      <c r="F395" s="1" t="s">
        <v>2802</v>
      </c>
      <c r="G395" t="s">
        <v>9333</v>
      </c>
      <c r="H395">
        <v>1358894</v>
      </c>
      <c r="I395" s="1" t="s">
        <v>4923</v>
      </c>
      <c r="J395" s="44" t="s">
        <v>4923</v>
      </c>
      <c r="K395" s="44" t="s">
        <v>5001</v>
      </c>
      <c r="L395" s="1" t="s">
        <v>7591</v>
      </c>
      <c r="M395" s="1" t="s">
        <v>9334</v>
      </c>
      <c r="N395" s="1" t="s">
        <v>8396</v>
      </c>
    </row>
    <row r="396" spans="1:14">
      <c r="A396" s="1" t="s">
        <v>1865</v>
      </c>
      <c r="B396" s="1" t="s">
        <v>1866</v>
      </c>
      <c r="C396" s="1" t="s">
        <v>1867</v>
      </c>
      <c r="D396" s="1" t="s">
        <v>1808</v>
      </c>
      <c r="E396" s="1" t="s">
        <v>9335</v>
      </c>
      <c r="F396" s="1" t="s">
        <v>6227</v>
      </c>
      <c r="G396" t="s">
        <v>9336</v>
      </c>
      <c r="H396">
        <v>1357083</v>
      </c>
      <c r="I396" s="1" t="s">
        <v>1869</v>
      </c>
      <c r="J396" s="44" t="s">
        <v>1869</v>
      </c>
      <c r="K396" s="44" t="s">
        <v>5874</v>
      </c>
      <c r="L396" s="1" t="s">
        <v>7317</v>
      </c>
      <c r="M396" s="1" t="s">
        <v>7731</v>
      </c>
      <c r="N396" s="1" t="s">
        <v>8074</v>
      </c>
    </row>
    <row r="397" spans="1:14">
      <c r="A397" s="1" t="s">
        <v>1784</v>
      </c>
      <c r="B397" s="1" t="s">
        <v>1785</v>
      </c>
      <c r="C397" s="1" t="s">
        <v>1786</v>
      </c>
      <c r="D397" s="1" t="s">
        <v>1814</v>
      </c>
      <c r="E397" s="1" t="s">
        <v>9337</v>
      </c>
      <c r="F397" s="1" t="s">
        <v>6109</v>
      </c>
      <c r="G397" t="s">
        <v>9338</v>
      </c>
      <c r="H397">
        <v>1307684</v>
      </c>
      <c r="I397" s="1" t="s">
        <v>9339</v>
      </c>
      <c r="J397" s="44" t="s">
        <v>9339</v>
      </c>
      <c r="K397" s="44" t="s">
        <v>5497</v>
      </c>
      <c r="L397" s="1" t="s">
        <v>7910</v>
      </c>
      <c r="M397" s="1" t="s">
        <v>7858</v>
      </c>
      <c r="N397" s="1" t="s">
        <v>8074</v>
      </c>
    </row>
    <row r="398" spans="1:14">
      <c r="A398" s="1" t="s">
        <v>1398</v>
      </c>
      <c r="B398" s="1" t="s">
        <v>1399</v>
      </c>
      <c r="C398" s="1" t="s">
        <v>1400</v>
      </c>
      <c r="D398" s="1" t="s">
        <v>1818</v>
      </c>
      <c r="E398" s="1" t="s">
        <v>9340</v>
      </c>
      <c r="F398" s="1" t="s">
        <v>7836</v>
      </c>
      <c r="G398" t="s">
        <v>9341</v>
      </c>
      <c r="H398">
        <v>1301410</v>
      </c>
      <c r="I398" s="1" t="s">
        <v>9342</v>
      </c>
      <c r="J398" s="44" t="s">
        <v>9342</v>
      </c>
      <c r="K398" s="44" t="s">
        <v>6586</v>
      </c>
      <c r="L398" s="1" t="s">
        <v>9343</v>
      </c>
      <c r="M398" s="1" t="s">
        <v>7980</v>
      </c>
      <c r="N398" s="1" t="s">
        <v>8090</v>
      </c>
    </row>
    <row r="399" spans="1:14">
      <c r="A399" s="1" t="s">
        <v>1695</v>
      </c>
      <c r="B399" s="1" t="s">
        <v>1696</v>
      </c>
      <c r="C399" s="1" t="s">
        <v>1697</v>
      </c>
      <c r="D399" s="1" t="s">
        <v>1823</v>
      </c>
      <c r="E399" s="1" t="s">
        <v>9344</v>
      </c>
      <c r="F399" s="1" t="s">
        <v>6229</v>
      </c>
      <c r="G399" t="s">
        <v>9345</v>
      </c>
      <c r="H399">
        <v>1299163</v>
      </c>
      <c r="I399" s="1" t="s">
        <v>9346</v>
      </c>
      <c r="J399" s="44" t="s">
        <v>9347</v>
      </c>
      <c r="K399" s="44" t="s">
        <v>5399</v>
      </c>
      <c r="L399" s="1" t="s">
        <v>5492</v>
      </c>
      <c r="M399" s="1" t="s">
        <v>7363</v>
      </c>
      <c r="N399" s="1" t="s">
        <v>8186</v>
      </c>
    </row>
    <row r="400" spans="1:14">
      <c r="A400" s="1" t="s">
        <v>1715</v>
      </c>
      <c r="B400" s="1" t="s">
        <v>1716</v>
      </c>
      <c r="C400" s="1" t="s">
        <v>1717</v>
      </c>
      <c r="D400" s="1" t="s">
        <v>1828</v>
      </c>
      <c r="E400" s="1" t="s">
        <v>9348</v>
      </c>
      <c r="F400" s="1" t="s">
        <v>9349</v>
      </c>
      <c r="G400" t="s">
        <v>9350</v>
      </c>
      <c r="H400">
        <v>1282020</v>
      </c>
      <c r="I400" s="1" t="s">
        <v>1719</v>
      </c>
      <c r="J400" s="44" t="s">
        <v>1720</v>
      </c>
      <c r="K400" s="44" t="s">
        <v>5128</v>
      </c>
      <c r="L400" s="1" t="s">
        <v>9351</v>
      </c>
      <c r="M400" s="1" t="s">
        <v>9352</v>
      </c>
      <c r="N400" s="1" t="s">
        <v>8213</v>
      </c>
    </row>
    <row r="401" spans="1:14">
      <c r="A401" s="1" t="s">
        <v>1685</v>
      </c>
      <c r="B401" s="1" t="s">
        <v>1686</v>
      </c>
      <c r="C401" s="1" t="s">
        <v>1687</v>
      </c>
      <c r="D401" s="1" t="s">
        <v>1833</v>
      </c>
      <c r="E401" s="1" t="s">
        <v>9353</v>
      </c>
      <c r="F401" s="1" t="s">
        <v>4985</v>
      </c>
      <c r="G401" t="s">
        <v>9354</v>
      </c>
      <c r="H401">
        <v>1273400</v>
      </c>
      <c r="I401" s="1" t="s">
        <v>1690</v>
      </c>
      <c r="J401" s="44" t="s">
        <v>1690</v>
      </c>
      <c r="K401" s="44" t="s">
        <v>5067</v>
      </c>
      <c r="L401" s="1" t="s">
        <v>6198</v>
      </c>
      <c r="M401" s="1" t="s">
        <v>7528</v>
      </c>
      <c r="N401" s="1" t="s">
        <v>8133</v>
      </c>
    </row>
    <row r="402" spans="1:14">
      <c r="A402" s="1" t="s">
        <v>2088</v>
      </c>
      <c r="B402" s="1" t="s">
        <v>2089</v>
      </c>
      <c r="C402" s="1" t="s">
        <v>2090</v>
      </c>
      <c r="D402" s="1" t="s">
        <v>1839</v>
      </c>
      <c r="E402" s="1" t="s">
        <v>9355</v>
      </c>
      <c r="F402" s="1" t="s">
        <v>7325</v>
      </c>
      <c r="G402" t="s">
        <v>9356</v>
      </c>
      <c r="H402">
        <v>1262543</v>
      </c>
      <c r="I402" s="1" t="s">
        <v>5283</v>
      </c>
      <c r="J402" s="44" t="s">
        <v>2092</v>
      </c>
      <c r="K402" s="44" t="s">
        <v>7096</v>
      </c>
      <c r="L402" s="1" t="s">
        <v>6572</v>
      </c>
      <c r="M402" s="1" t="s">
        <v>9357</v>
      </c>
      <c r="N402" s="1" t="s">
        <v>8102</v>
      </c>
    </row>
    <row r="403" spans="1:14">
      <c r="A403" s="1" t="s">
        <v>1711</v>
      </c>
      <c r="B403" s="1" t="s">
        <v>1712</v>
      </c>
      <c r="C403" s="1" t="s">
        <v>1713</v>
      </c>
      <c r="D403" s="1" t="s">
        <v>1843</v>
      </c>
      <c r="E403" s="1" t="s">
        <v>9358</v>
      </c>
      <c r="F403" s="1" t="s">
        <v>7981</v>
      </c>
      <c r="G403" t="s">
        <v>9359</v>
      </c>
      <c r="H403">
        <v>1252746</v>
      </c>
      <c r="I403" s="1" t="s">
        <v>9360</v>
      </c>
      <c r="J403" s="44" t="s">
        <v>9360</v>
      </c>
      <c r="K403" s="44" t="s">
        <v>6968</v>
      </c>
      <c r="L403" s="1" t="s">
        <v>5848</v>
      </c>
      <c r="M403" s="1" t="s">
        <v>6964</v>
      </c>
      <c r="N403" s="1" t="s">
        <v>8213</v>
      </c>
    </row>
    <row r="404" spans="1:14">
      <c r="A404" s="1" t="s">
        <v>1850</v>
      </c>
      <c r="B404" s="1" t="s">
        <v>1851</v>
      </c>
      <c r="C404" s="1" t="s">
        <v>1852</v>
      </c>
      <c r="D404" s="1" t="s">
        <v>1848</v>
      </c>
      <c r="E404" s="1" t="s">
        <v>9361</v>
      </c>
      <c r="F404" s="1" t="s">
        <v>9362</v>
      </c>
      <c r="G404" t="s">
        <v>9363</v>
      </c>
      <c r="H404">
        <v>1236840</v>
      </c>
      <c r="I404" s="1" t="s">
        <v>230</v>
      </c>
      <c r="J404" s="44" t="s">
        <v>230</v>
      </c>
      <c r="K404" s="44" t="s">
        <v>5061</v>
      </c>
      <c r="L404" s="1" t="s">
        <v>7401</v>
      </c>
      <c r="M404" s="1" t="s">
        <v>7305</v>
      </c>
      <c r="N404" s="1" t="s">
        <v>8102</v>
      </c>
    </row>
    <row r="405" spans="1:14">
      <c r="A405" s="1" t="s">
        <v>1800</v>
      </c>
      <c r="B405" s="1" t="s">
        <v>1801</v>
      </c>
      <c r="C405" s="1" t="s">
        <v>1802</v>
      </c>
      <c r="D405" s="1" t="s">
        <v>1853</v>
      </c>
      <c r="E405" s="1" t="s">
        <v>9364</v>
      </c>
      <c r="F405" s="1" t="s">
        <v>9365</v>
      </c>
      <c r="G405" t="s">
        <v>9366</v>
      </c>
      <c r="H405">
        <v>1224377</v>
      </c>
      <c r="I405" s="1" t="s">
        <v>1804</v>
      </c>
      <c r="J405" s="44" t="s">
        <v>1804</v>
      </c>
      <c r="K405" s="44" t="s">
        <v>5758</v>
      </c>
      <c r="L405" s="1" t="s">
        <v>8014</v>
      </c>
      <c r="M405" s="1" t="s">
        <v>7726</v>
      </c>
      <c r="N405" s="1" t="s">
        <v>8080</v>
      </c>
    </row>
    <row r="406" spans="1:14">
      <c r="A406" s="1" t="s">
        <v>4931</v>
      </c>
      <c r="B406" s="1" t="s">
        <v>4932</v>
      </c>
      <c r="C406" s="1" t="s">
        <v>4932</v>
      </c>
      <c r="D406" s="1" t="s">
        <v>1857</v>
      </c>
      <c r="E406" s="1" t="s">
        <v>9367</v>
      </c>
      <c r="F406" s="1" t="s">
        <v>7765</v>
      </c>
      <c r="G406" t="s">
        <v>9368</v>
      </c>
      <c r="H406">
        <v>1223644</v>
      </c>
      <c r="I406" s="1" t="s">
        <v>9369</v>
      </c>
      <c r="J406" s="44" t="s">
        <v>9370</v>
      </c>
      <c r="K406" s="44" t="s">
        <v>7182</v>
      </c>
      <c r="L406" s="1" t="s">
        <v>6544</v>
      </c>
      <c r="M406" s="1" t="s">
        <v>7982</v>
      </c>
      <c r="N406" s="1" t="s">
        <v>8213</v>
      </c>
    </row>
    <row r="407" spans="1:14">
      <c r="A407" s="1" t="s">
        <v>5206</v>
      </c>
      <c r="B407" s="1" t="s">
        <v>5207</v>
      </c>
      <c r="C407" s="1" t="s">
        <v>5208</v>
      </c>
      <c r="D407" s="1" t="s">
        <v>1863</v>
      </c>
      <c r="E407" s="1" t="s">
        <v>9371</v>
      </c>
      <c r="F407" s="1" t="s">
        <v>6724</v>
      </c>
      <c r="G407" t="s">
        <v>9372</v>
      </c>
      <c r="H407">
        <v>1200873</v>
      </c>
      <c r="I407" s="1" t="s">
        <v>9373</v>
      </c>
      <c r="J407" s="44" t="s">
        <v>9373</v>
      </c>
      <c r="K407" s="44" t="s">
        <v>5001</v>
      </c>
      <c r="L407" s="1" t="s">
        <v>9374</v>
      </c>
      <c r="M407" s="1" t="s">
        <v>6653</v>
      </c>
      <c r="N407" s="1" t="s">
        <v>8070</v>
      </c>
    </row>
    <row r="408" spans="1:14">
      <c r="A408" s="1" t="s">
        <v>1495</v>
      </c>
      <c r="B408" s="1" t="s">
        <v>1496</v>
      </c>
      <c r="C408" s="1" t="s">
        <v>1497</v>
      </c>
      <c r="D408" s="1" t="s">
        <v>1868</v>
      </c>
      <c r="E408" s="1" t="s">
        <v>9375</v>
      </c>
      <c r="F408" s="1" t="s">
        <v>9376</v>
      </c>
      <c r="G408" t="s">
        <v>9377</v>
      </c>
      <c r="H408">
        <v>1171728</v>
      </c>
      <c r="I408" s="1" t="s">
        <v>1499</v>
      </c>
      <c r="J408" s="44" t="s">
        <v>1500</v>
      </c>
      <c r="K408" s="44" t="s">
        <v>5088</v>
      </c>
      <c r="L408" s="1" t="s">
        <v>6043</v>
      </c>
      <c r="M408" s="1" t="s">
        <v>9378</v>
      </c>
      <c r="N408" s="1" t="s">
        <v>8213</v>
      </c>
    </row>
    <row r="409" spans="1:14">
      <c r="A409" s="1" t="s">
        <v>1705</v>
      </c>
      <c r="B409" s="1" t="s">
        <v>1706</v>
      </c>
      <c r="C409" s="1" t="s">
        <v>1707</v>
      </c>
      <c r="D409" s="1" t="s">
        <v>1873</v>
      </c>
      <c r="E409" s="1" t="s">
        <v>9379</v>
      </c>
      <c r="F409" s="1" t="s">
        <v>1709</v>
      </c>
      <c r="G409" t="s">
        <v>7983</v>
      </c>
      <c r="H409">
        <v>1171487</v>
      </c>
      <c r="I409" s="1" t="s">
        <v>1710</v>
      </c>
      <c r="J409" s="44" t="s">
        <v>1710</v>
      </c>
      <c r="K409" s="44" t="s">
        <v>5776</v>
      </c>
      <c r="L409" s="1" t="s">
        <v>7302</v>
      </c>
      <c r="M409" s="1" t="s">
        <v>7839</v>
      </c>
      <c r="N409" s="1" t="s">
        <v>8152</v>
      </c>
    </row>
    <row r="410" spans="1:14">
      <c r="A410" s="1" t="s">
        <v>1874</v>
      </c>
      <c r="B410" s="1" t="s">
        <v>1875</v>
      </c>
      <c r="C410" s="1" t="s">
        <v>1876</v>
      </c>
      <c r="D410" s="1" t="s">
        <v>1877</v>
      </c>
      <c r="E410" s="1" t="s">
        <v>9380</v>
      </c>
      <c r="F410" s="1" t="s">
        <v>6232</v>
      </c>
      <c r="G410" t="s">
        <v>9381</v>
      </c>
      <c r="H410">
        <v>1149083</v>
      </c>
      <c r="I410" s="1" t="s">
        <v>9382</v>
      </c>
      <c r="J410" s="44" t="s">
        <v>9382</v>
      </c>
      <c r="K410" s="44" t="s">
        <v>5067</v>
      </c>
      <c r="L410" s="1" t="s">
        <v>5066</v>
      </c>
      <c r="M410" s="1" t="s">
        <v>6567</v>
      </c>
      <c r="N410" s="1" t="s">
        <v>8133</v>
      </c>
    </row>
    <row r="411" spans="1:14">
      <c r="A411" s="1" t="s">
        <v>1890</v>
      </c>
      <c r="B411" s="1" t="s">
        <v>1891</v>
      </c>
      <c r="C411" s="1" t="s">
        <v>1892</v>
      </c>
      <c r="D411" s="1" t="s">
        <v>1881</v>
      </c>
      <c r="E411" s="1" t="s">
        <v>9383</v>
      </c>
      <c r="F411" s="1" t="s">
        <v>6880</v>
      </c>
      <c r="G411" t="s">
        <v>9384</v>
      </c>
      <c r="H411">
        <v>1147722</v>
      </c>
      <c r="I411" s="1" t="s">
        <v>9385</v>
      </c>
      <c r="J411" s="44" t="s">
        <v>9385</v>
      </c>
      <c r="K411" s="44" t="s">
        <v>7581</v>
      </c>
      <c r="L411" s="1" t="s">
        <v>7274</v>
      </c>
      <c r="M411" s="1" t="s">
        <v>7837</v>
      </c>
      <c r="N411" s="1" t="s">
        <v>8162</v>
      </c>
    </row>
    <row r="412" spans="1:14">
      <c r="A412" s="1" t="s">
        <v>1734</v>
      </c>
      <c r="B412" s="1" t="s">
        <v>1735</v>
      </c>
      <c r="C412" s="1" t="s">
        <v>1736</v>
      </c>
      <c r="D412" s="1" t="s">
        <v>1887</v>
      </c>
      <c r="E412" s="1" t="s">
        <v>9386</v>
      </c>
      <c r="F412" s="1" t="s">
        <v>6725</v>
      </c>
      <c r="G412" t="s">
        <v>9387</v>
      </c>
      <c r="H412">
        <v>1135345</v>
      </c>
      <c r="I412" s="1" t="s">
        <v>1738</v>
      </c>
      <c r="J412" s="44" t="s">
        <v>1738</v>
      </c>
      <c r="K412" s="44" t="s">
        <v>5067</v>
      </c>
      <c r="L412" s="1" t="s">
        <v>7718</v>
      </c>
      <c r="M412" s="1" t="s">
        <v>6618</v>
      </c>
      <c r="N412" s="1" t="s">
        <v>8190</v>
      </c>
    </row>
    <row r="413" spans="1:14">
      <c r="A413" s="1" t="s">
        <v>5180</v>
      </c>
      <c r="B413" s="1" t="s">
        <v>5181</v>
      </c>
      <c r="C413" s="1" t="s">
        <v>5182</v>
      </c>
      <c r="D413" s="1" t="s">
        <v>1893</v>
      </c>
      <c r="E413" s="1" t="s">
        <v>9388</v>
      </c>
      <c r="F413" s="1" t="s">
        <v>9389</v>
      </c>
      <c r="G413" t="s">
        <v>9390</v>
      </c>
      <c r="H413">
        <v>1130470</v>
      </c>
      <c r="I413" s="1" t="s">
        <v>5288</v>
      </c>
      <c r="J413" s="44" t="s">
        <v>5183</v>
      </c>
      <c r="K413" s="44" t="s">
        <v>7450</v>
      </c>
      <c r="L413" s="1" t="s">
        <v>7477</v>
      </c>
      <c r="M413" s="1" t="s">
        <v>9391</v>
      </c>
      <c r="N413" s="1" t="s">
        <v>8140</v>
      </c>
    </row>
    <row r="414" spans="1:14">
      <c r="A414" s="1" t="s">
        <v>1668</v>
      </c>
      <c r="B414" s="1" t="s">
        <v>1669</v>
      </c>
      <c r="C414" s="1" t="s">
        <v>1670</v>
      </c>
      <c r="D414" s="1" t="s">
        <v>1897</v>
      </c>
      <c r="E414" s="1" t="s">
        <v>9392</v>
      </c>
      <c r="F414" s="1" t="s">
        <v>9393</v>
      </c>
      <c r="G414" t="s">
        <v>9394</v>
      </c>
      <c r="H414">
        <v>1114335</v>
      </c>
      <c r="I414" s="1" t="s">
        <v>9395</v>
      </c>
      <c r="J414" s="44" t="s">
        <v>9395</v>
      </c>
      <c r="K414" s="44" t="s">
        <v>7334</v>
      </c>
      <c r="L414" s="1" t="s">
        <v>7585</v>
      </c>
      <c r="M414" s="1" t="s">
        <v>7515</v>
      </c>
      <c r="N414" s="1" t="s">
        <v>8133</v>
      </c>
    </row>
    <row r="415" spans="1:14">
      <c r="A415" s="1" t="s">
        <v>1780</v>
      </c>
      <c r="B415" s="1" t="s">
        <v>1781</v>
      </c>
      <c r="C415" s="1" t="s">
        <v>1782</v>
      </c>
      <c r="D415" s="1" t="s">
        <v>1901</v>
      </c>
      <c r="E415" s="1" t="s">
        <v>9396</v>
      </c>
      <c r="F415" s="1" t="s">
        <v>6112</v>
      </c>
      <c r="G415" t="s">
        <v>9397</v>
      </c>
      <c r="H415">
        <v>1091210</v>
      </c>
      <c r="I415" s="1" t="s">
        <v>9398</v>
      </c>
      <c r="J415" s="44" t="s">
        <v>9398</v>
      </c>
      <c r="K415" s="44" t="s">
        <v>5067</v>
      </c>
      <c r="L415" s="1" t="s">
        <v>5496</v>
      </c>
      <c r="M415" s="1" t="s">
        <v>7379</v>
      </c>
      <c r="N415" s="1" t="s">
        <v>8263</v>
      </c>
    </row>
    <row r="416" spans="1:14">
      <c r="A416" s="1" t="s">
        <v>2033</v>
      </c>
      <c r="B416" s="1" t="s">
        <v>2034</v>
      </c>
      <c r="C416" s="1" t="s">
        <v>2035</v>
      </c>
      <c r="D416" s="1" t="s">
        <v>1905</v>
      </c>
      <c r="E416" s="1" t="s">
        <v>9399</v>
      </c>
      <c r="F416" s="1" t="s">
        <v>9400</v>
      </c>
      <c r="G416" t="s">
        <v>9401</v>
      </c>
      <c r="H416">
        <v>1085363</v>
      </c>
      <c r="I416" s="1" t="s">
        <v>9402</v>
      </c>
      <c r="J416" s="44" t="s">
        <v>9403</v>
      </c>
      <c r="K416" s="44" t="s">
        <v>6673</v>
      </c>
      <c r="L416" s="1" t="s">
        <v>7461</v>
      </c>
      <c r="M416" s="1" t="s">
        <v>9404</v>
      </c>
      <c r="N416" s="1" t="s">
        <v>8186</v>
      </c>
    </row>
    <row r="417" spans="1:14">
      <c r="A417" s="1" t="s">
        <v>1845</v>
      </c>
      <c r="B417" s="1" t="s">
        <v>1846</v>
      </c>
      <c r="C417" s="1" t="s">
        <v>1847</v>
      </c>
      <c r="D417" s="1" t="s">
        <v>1909</v>
      </c>
      <c r="E417" s="1" t="s">
        <v>7109</v>
      </c>
      <c r="F417" s="1" t="s">
        <v>7382</v>
      </c>
      <c r="G417" t="s">
        <v>9405</v>
      </c>
      <c r="H417">
        <v>1065440</v>
      </c>
      <c r="I417" s="1" t="s">
        <v>1849</v>
      </c>
      <c r="J417" s="44" t="s">
        <v>1849</v>
      </c>
      <c r="K417" s="44" t="s">
        <v>5621</v>
      </c>
      <c r="L417" s="1" t="s">
        <v>7247</v>
      </c>
      <c r="M417" s="1" t="s">
        <v>9406</v>
      </c>
      <c r="N417" s="1" t="s">
        <v>8090</v>
      </c>
    </row>
    <row r="418" spans="1:14">
      <c r="A418" s="1" t="s">
        <v>1567</v>
      </c>
      <c r="B418" s="1" t="s">
        <v>1568</v>
      </c>
      <c r="C418" s="1" t="s">
        <v>1569</v>
      </c>
      <c r="D418" s="1" t="s">
        <v>1912</v>
      </c>
      <c r="E418" s="1" t="s">
        <v>9407</v>
      </c>
      <c r="F418" s="1" t="s">
        <v>5560</v>
      </c>
      <c r="G418" t="s">
        <v>9408</v>
      </c>
      <c r="H418">
        <v>1055857</v>
      </c>
      <c r="I418" s="1" t="s">
        <v>9409</v>
      </c>
      <c r="J418" s="44" t="s">
        <v>9410</v>
      </c>
      <c r="K418" s="44" t="s">
        <v>5931</v>
      </c>
      <c r="L418" s="1" t="s">
        <v>7059</v>
      </c>
      <c r="M418" s="1" t="s">
        <v>7367</v>
      </c>
      <c r="N418" s="1" t="s">
        <v>8137</v>
      </c>
    </row>
    <row r="419" spans="1:14">
      <c r="A419" s="1" t="s">
        <v>1612</v>
      </c>
      <c r="B419" s="1" t="s">
        <v>1613</v>
      </c>
      <c r="C419" s="1" t="s">
        <v>1614</v>
      </c>
      <c r="D419" s="1" t="s">
        <v>1916</v>
      </c>
      <c r="E419" s="1" t="s">
        <v>9411</v>
      </c>
      <c r="F419" s="1" t="s">
        <v>9412</v>
      </c>
      <c r="G419" t="s">
        <v>9413</v>
      </c>
      <c r="H419">
        <v>1016469</v>
      </c>
      <c r="I419" s="1" t="s">
        <v>1616</v>
      </c>
      <c r="J419" s="44" t="s">
        <v>1617</v>
      </c>
      <c r="K419" s="44" t="s">
        <v>5794</v>
      </c>
      <c r="L419" s="1" t="s">
        <v>6416</v>
      </c>
      <c r="M419" s="1" t="s">
        <v>6106</v>
      </c>
      <c r="N419" s="1" t="s">
        <v>8102</v>
      </c>
    </row>
    <row r="420" spans="1:14">
      <c r="A420" s="1" t="s">
        <v>5147</v>
      </c>
      <c r="B420" s="1" t="s">
        <v>5148</v>
      </c>
      <c r="C420" s="1" t="s">
        <v>5149</v>
      </c>
      <c r="D420" s="1" t="s">
        <v>1923</v>
      </c>
      <c r="E420" s="1" t="s">
        <v>9414</v>
      </c>
      <c r="F420" s="1" t="s">
        <v>7579</v>
      </c>
      <c r="G420" t="s">
        <v>9415</v>
      </c>
      <c r="H420">
        <v>971275</v>
      </c>
      <c r="I420" s="1" t="s">
        <v>5150</v>
      </c>
      <c r="J420" s="44" t="s">
        <v>5150</v>
      </c>
      <c r="K420" s="44" t="s">
        <v>7451</v>
      </c>
      <c r="L420" s="1" t="s">
        <v>9416</v>
      </c>
      <c r="M420" s="1" t="s">
        <v>9417</v>
      </c>
      <c r="N420" s="1" t="s">
        <v>8213</v>
      </c>
    </row>
    <row r="421" spans="1:14">
      <c r="A421" s="1" t="s">
        <v>2949</v>
      </c>
      <c r="B421" s="1" t="s">
        <v>2950</v>
      </c>
      <c r="C421" s="1" t="s">
        <v>2951</v>
      </c>
      <c r="D421" s="1" t="s">
        <v>1927</v>
      </c>
      <c r="E421" s="1" t="s">
        <v>9418</v>
      </c>
      <c r="F421" s="1" t="s">
        <v>9419</v>
      </c>
      <c r="G421" t="s">
        <v>9420</v>
      </c>
      <c r="H421">
        <v>965584</v>
      </c>
      <c r="I421" s="1" t="s">
        <v>6255</v>
      </c>
      <c r="J421" s="44" t="s">
        <v>6255</v>
      </c>
      <c r="K421" s="44" t="s">
        <v>7013</v>
      </c>
      <c r="L421" s="1" t="s">
        <v>9421</v>
      </c>
      <c r="M421" s="1" t="s">
        <v>9422</v>
      </c>
      <c r="N421" s="1" t="s">
        <v>8190</v>
      </c>
    </row>
    <row r="422" spans="1:14">
      <c r="A422" s="1" t="s">
        <v>1805</v>
      </c>
      <c r="B422" s="1" t="s">
        <v>1806</v>
      </c>
      <c r="C422" s="1" t="s">
        <v>1807</v>
      </c>
      <c r="D422" s="1" t="s">
        <v>1932</v>
      </c>
      <c r="E422" s="1" t="s">
        <v>9423</v>
      </c>
      <c r="F422" s="1" t="s">
        <v>7121</v>
      </c>
      <c r="G422" t="s">
        <v>9424</v>
      </c>
      <c r="H422">
        <v>958995</v>
      </c>
      <c r="I422" s="1" t="s">
        <v>1809</v>
      </c>
      <c r="J422" s="44" t="s">
        <v>1810</v>
      </c>
      <c r="K422" s="44" t="s">
        <v>5098</v>
      </c>
      <c r="L422" s="1" t="s">
        <v>5110</v>
      </c>
      <c r="M422" s="1" t="s">
        <v>5376</v>
      </c>
      <c r="N422" s="1" t="s">
        <v>8090</v>
      </c>
    </row>
    <row r="423" spans="1:14">
      <c r="A423" s="1" t="s">
        <v>1571</v>
      </c>
      <c r="B423" s="1" t="s">
        <v>1572</v>
      </c>
      <c r="C423" s="1" t="s">
        <v>1573</v>
      </c>
      <c r="D423" s="1" t="s">
        <v>1937</v>
      </c>
      <c r="E423" s="1" t="s">
        <v>9425</v>
      </c>
      <c r="F423" s="1" t="s">
        <v>6615</v>
      </c>
      <c r="G423" t="s">
        <v>9426</v>
      </c>
      <c r="H423">
        <v>955290</v>
      </c>
      <c r="I423" s="1" t="s">
        <v>6234</v>
      </c>
      <c r="J423" s="44" t="s">
        <v>6235</v>
      </c>
      <c r="K423" s="44" t="s">
        <v>5211</v>
      </c>
      <c r="L423" s="1" t="s">
        <v>6622</v>
      </c>
      <c r="M423" s="1" t="s">
        <v>7855</v>
      </c>
      <c r="N423" s="1" t="s">
        <v>8080</v>
      </c>
    </row>
    <row r="424" spans="1:14">
      <c r="A424" s="1" t="s">
        <v>1825</v>
      </c>
      <c r="B424" s="1" t="s">
        <v>1826</v>
      </c>
      <c r="C424" s="1" t="s">
        <v>1827</v>
      </c>
      <c r="D424" s="1" t="s">
        <v>1941</v>
      </c>
      <c r="E424" s="1" t="s">
        <v>9427</v>
      </c>
      <c r="F424" s="1" t="s">
        <v>7122</v>
      </c>
      <c r="G424" t="s">
        <v>9428</v>
      </c>
      <c r="H424">
        <v>925003</v>
      </c>
      <c r="I424" s="1" t="s">
        <v>1829</v>
      </c>
      <c r="J424" s="44" t="s">
        <v>1829</v>
      </c>
      <c r="K424" s="44" t="s">
        <v>5671</v>
      </c>
      <c r="L424" s="1" t="s">
        <v>5666</v>
      </c>
      <c r="M424" s="1" t="s">
        <v>7993</v>
      </c>
      <c r="N424" s="1" t="s">
        <v>8090</v>
      </c>
    </row>
    <row r="425" spans="1:14">
      <c r="A425" s="1" t="s">
        <v>1647</v>
      </c>
      <c r="B425" s="1" t="s">
        <v>1648</v>
      </c>
      <c r="C425" s="1" t="s">
        <v>1649</v>
      </c>
      <c r="D425" s="1" t="s">
        <v>1945</v>
      </c>
      <c r="E425" s="1" t="s">
        <v>9429</v>
      </c>
      <c r="F425" s="1" t="s">
        <v>5594</v>
      </c>
      <c r="G425" t="s">
        <v>9430</v>
      </c>
      <c r="H425">
        <v>911791</v>
      </c>
      <c r="I425" s="1" t="s">
        <v>9431</v>
      </c>
      <c r="J425" s="44" t="s">
        <v>9431</v>
      </c>
      <c r="K425" s="44" t="s">
        <v>6030</v>
      </c>
      <c r="L425" s="1" t="s">
        <v>6039</v>
      </c>
      <c r="M425" s="1" t="s">
        <v>9432</v>
      </c>
      <c r="N425" s="1" t="s">
        <v>8074</v>
      </c>
    </row>
    <row r="426" spans="1:14">
      <c r="A426" s="1" t="s">
        <v>1860</v>
      </c>
      <c r="B426" s="1" t="s">
        <v>1861</v>
      </c>
      <c r="C426" s="1" t="s">
        <v>1862</v>
      </c>
      <c r="D426" s="1" t="s">
        <v>1950</v>
      </c>
      <c r="E426" s="1" t="s">
        <v>9433</v>
      </c>
      <c r="F426" s="1" t="s">
        <v>6236</v>
      </c>
      <c r="G426" t="s">
        <v>9434</v>
      </c>
      <c r="H426">
        <v>895041</v>
      </c>
      <c r="I426" s="1" t="s">
        <v>1864</v>
      </c>
      <c r="J426" s="44" t="s">
        <v>1002</v>
      </c>
      <c r="K426" s="44" t="s">
        <v>5001</v>
      </c>
      <c r="L426" s="1" t="s">
        <v>9435</v>
      </c>
      <c r="M426" s="1" t="s">
        <v>5998</v>
      </c>
      <c r="N426" s="1" t="s">
        <v>8213</v>
      </c>
    </row>
    <row r="427" spans="1:14">
      <c r="A427" s="1" t="s">
        <v>2097</v>
      </c>
      <c r="B427" s="1" t="s">
        <v>2098</v>
      </c>
      <c r="C427" s="1" t="s">
        <v>2099</v>
      </c>
      <c r="D427" s="1" t="s">
        <v>1954</v>
      </c>
      <c r="E427" s="1" t="s">
        <v>9436</v>
      </c>
      <c r="F427" s="1" t="s">
        <v>6237</v>
      </c>
      <c r="G427" t="s">
        <v>9437</v>
      </c>
      <c r="H427">
        <v>888138</v>
      </c>
      <c r="I427" s="1" t="s">
        <v>9438</v>
      </c>
      <c r="J427" s="44" t="s">
        <v>9438</v>
      </c>
      <c r="K427" s="44" t="s">
        <v>5001</v>
      </c>
      <c r="L427" s="1" t="s">
        <v>6516</v>
      </c>
      <c r="M427" s="1" t="s">
        <v>9439</v>
      </c>
      <c r="N427" s="1" t="s">
        <v>8080</v>
      </c>
    </row>
    <row r="428" spans="1:14">
      <c r="A428" s="1" t="s">
        <v>1830</v>
      </c>
      <c r="B428" s="1" t="s">
        <v>1831</v>
      </c>
      <c r="C428" s="1" t="s">
        <v>1832</v>
      </c>
      <c r="D428" s="1" t="s">
        <v>1957</v>
      </c>
      <c r="E428" s="1" t="s">
        <v>9440</v>
      </c>
      <c r="F428" s="1" t="s">
        <v>5899</v>
      </c>
      <c r="G428" t="s">
        <v>9441</v>
      </c>
      <c r="H428">
        <v>872001</v>
      </c>
      <c r="I428" s="1" t="s">
        <v>1834</v>
      </c>
      <c r="J428" s="44" t="s">
        <v>1835</v>
      </c>
      <c r="K428" s="44" t="s">
        <v>7732</v>
      </c>
      <c r="L428" s="1" t="s">
        <v>7203</v>
      </c>
      <c r="M428" s="1" t="s">
        <v>7217</v>
      </c>
      <c r="N428" s="1" t="s">
        <v>8112</v>
      </c>
    </row>
    <row r="429" spans="1:14">
      <c r="A429" s="1" t="s">
        <v>1772</v>
      </c>
      <c r="B429" s="1" t="s">
        <v>1773</v>
      </c>
      <c r="C429" s="1" t="s">
        <v>1774</v>
      </c>
      <c r="D429" s="1" t="s">
        <v>1962</v>
      </c>
      <c r="E429" s="1" t="s">
        <v>9442</v>
      </c>
      <c r="F429" s="1" t="s">
        <v>5696</v>
      </c>
      <c r="G429" t="s">
        <v>9443</v>
      </c>
      <c r="H429">
        <v>860053</v>
      </c>
      <c r="I429" s="1" t="s">
        <v>9444</v>
      </c>
      <c r="J429" s="44" t="s">
        <v>9444</v>
      </c>
      <c r="K429" s="44" t="s">
        <v>5227</v>
      </c>
      <c r="L429" s="1" t="s">
        <v>5781</v>
      </c>
      <c r="M429" s="1" t="s">
        <v>6781</v>
      </c>
      <c r="N429" s="1" t="s">
        <v>8098</v>
      </c>
    </row>
    <row r="430" spans="1:14">
      <c r="A430" s="1" t="s">
        <v>2474</v>
      </c>
      <c r="B430" s="1" t="s">
        <v>2475</v>
      </c>
      <c r="C430" s="1" t="s">
        <v>2476</v>
      </c>
      <c r="D430" s="1" t="s">
        <v>1966</v>
      </c>
      <c r="E430" s="1" t="s">
        <v>9445</v>
      </c>
      <c r="F430" s="1" t="s">
        <v>2591</v>
      </c>
      <c r="G430" t="s">
        <v>9446</v>
      </c>
      <c r="H430">
        <v>816933</v>
      </c>
      <c r="I430" s="1" t="s">
        <v>9447</v>
      </c>
      <c r="J430" s="44" t="s">
        <v>9447</v>
      </c>
      <c r="K430" s="44" t="s">
        <v>5001</v>
      </c>
      <c r="L430" s="1" t="s">
        <v>9448</v>
      </c>
      <c r="M430" s="1" t="s">
        <v>9449</v>
      </c>
      <c r="N430" s="1" t="s">
        <v>8102</v>
      </c>
    </row>
    <row r="431" spans="1:14">
      <c r="A431" s="1" t="s">
        <v>4132</v>
      </c>
      <c r="B431" s="1" t="s">
        <v>4133</v>
      </c>
      <c r="C431" s="1" t="s">
        <v>4134</v>
      </c>
      <c r="D431" s="1" t="s">
        <v>1970</v>
      </c>
      <c r="E431" s="1" t="s">
        <v>9450</v>
      </c>
      <c r="F431" s="1" t="s">
        <v>6726</v>
      </c>
      <c r="G431" t="s">
        <v>9451</v>
      </c>
      <c r="H431">
        <v>800085</v>
      </c>
      <c r="I431" s="1" t="s">
        <v>4938</v>
      </c>
      <c r="J431" s="44" t="s">
        <v>4939</v>
      </c>
      <c r="K431" s="44" t="s">
        <v>5112</v>
      </c>
      <c r="L431" s="1" t="s">
        <v>6390</v>
      </c>
      <c r="M431" s="1" t="s">
        <v>5637</v>
      </c>
      <c r="N431" s="1" t="s">
        <v>8121</v>
      </c>
    </row>
    <row r="432" spans="1:14">
      <c r="A432" s="1" t="s">
        <v>4076</v>
      </c>
      <c r="B432" s="1" t="s">
        <v>4077</v>
      </c>
      <c r="C432" s="1" t="s">
        <v>4965</v>
      </c>
      <c r="D432" s="1" t="s">
        <v>1975</v>
      </c>
      <c r="E432" s="1" t="s">
        <v>9452</v>
      </c>
      <c r="F432" s="1" t="s">
        <v>6031</v>
      </c>
      <c r="G432" t="s">
        <v>9453</v>
      </c>
      <c r="H432">
        <v>792740</v>
      </c>
      <c r="I432" s="1" t="s">
        <v>9454</v>
      </c>
      <c r="J432" s="44" t="s">
        <v>9455</v>
      </c>
      <c r="K432" s="44" t="s">
        <v>5537</v>
      </c>
      <c r="L432" s="1" t="s">
        <v>7216</v>
      </c>
      <c r="M432" s="1" t="s">
        <v>7543</v>
      </c>
      <c r="N432" s="1" t="s">
        <v>8190</v>
      </c>
    </row>
    <row r="433" spans="1:14">
      <c r="A433" s="1" t="s">
        <v>745</v>
      </c>
      <c r="B433" s="1" t="s">
        <v>746</v>
      </c>
      <c r="C433" s="1" t="s">
        <v>747</v>
      </c>
      <c r="D433" s="1" t="s">
        <v>1979</v>
      </c>
      <c r="E433" s="1" t="s">
        <v>9456</v>
      </c>
      <c r="F433" s="1" t="s">
        <v>5017</v>
      </c>
      <c r="G433" t="s">
        <v>9457</v>
      </c>
      <c r="H433">
        <v>790643</v>
      </c>
      <c r="I433" s="1" t="s">
        <v>749</v>
      </c>
      <c r="J433" s="44" t="s">
        <v>749</v>
      </c>
      <c r="K433" s="44" t="s">
        <v>7148</v>
      </c>
      <c r="L433" s="1" t="s">
        <v>6475</v>
      </c>
      <c r="M433" s="1" t="s">
        <v>7984</v>
      </c>
      <c r="N433" s="1" t="s">
        <v>8085</v>
      </c>
    </row>
    <row r="434" spans="1:14">
      <c r="A434" s="1" t="s">
        <v>927</v>
      </c>
      <c r="B434" s="1" t="s">
        <v>928</v>
      </c>
      <c r="C434" s="1" t="s">
        <v>929</v>
      </c>
      <c r="D434" s="1" t="s">
        <v>1984</v>
      </c>
      <c r="E434" s="1" t="s">
        <v>9458</v>
      </c>
      <c r="F434" s="1" t="s">
        <v>7126</v>
      </c>
      <c r="G434" t="s">
        <v>9459</v>
      </c>
      <c r="H434">
        <v>764091</v>
      </c>
      <c r="I434" s="1" t="s">
        <v>931</v>
      </c>
      <c r="J434" s="44" t="s">
        <v>932</v>
      </c>
      <c r="K434" s="44" t="s">
        <v>7163</v>
      </c>
      <c r="L434" s="1" t="s">
        <v>7169</v>
      </c>
      <c r="M434" s="1" t="s">
        <v>8662</v>
      </c>
      <c r="N434" s="1" t="s">
        <v>8213</v>
      </c>
    </row>
    <row r="435" spans="1:14">
      <c r="A435" s="1" t="s">
        <v>2439</v>
      </c>
      <c r="B435" s="1" t="s">
        <v>2440</v>
      </c>
      <c r="C435" s="1" t="s">
        <v>2441</v>
      </c>
      <c r="D435" s="1" t="s">
        <v>1988</v>
      </c>
      <c r="E435" s="1" t="s">
        <v>9460</v>
      </c>
      <c r="F435" s="1" t="s">
        <v>9461</v>
      </c>
      <c r="G435" t="s">
        <v>9462</v>
      </c>
      <c r="H435">
        <v>737271</v>
      </c>
      <c r="I435" s="1" t="s">
        <v>5608</v>
      </c>
      <c r="J435" s="44" t="s">
        <v>5691</v>
      </c>
      <c r="K435" s="44" t="s">
        <v>5083</v>
      </c>
      <c r="L435" s="1" t="s">
        <v>6040</v>
      </c>
      <c r="M435" s="1" t="s">
        <v>6976</v>
      </c>
      <c r="N435" s="1" t="s">
        <v>8396</v>
      </c>
    </row>
    <row r="436" spans="1:14">
      <c r="A436" s="1" t="s">
        <v>2671</v>
      </c>
      <c r="B436" s="1" t="s">
        <v>2672</v>
      </c>
      <c r="C436" s="1" t="s">
        <v>2673</v>
      </c>
      <c r="D436" s="1" t="s">
        <v>1992</v>
      </c>
      <c r="E436" s="1" t="s">
        <v>9463</v>
      </c>
      <c r="F436" s="1" t="s">
        <v>6240</v>
      </c>
      <c r="G436" t="s">
        <v>9464</v>
      </c>
      <c r="H436">
        <v>733392</v>
      </c>
      <c r="I436" s="1" t="s">
        <v>2675</v>
      </c>
      <c r="J436" s="44" t="s">
        <v>2675</v>
      </c>
      <c r="K436" s="44" t="s">
        <v>5067</v>
      </c>
      <c r="L436" s="1" t="s">
        <v>7357</v>
      </c>
      <c r="M436" s="1" t="s">
        <v>6544</v>
      </c>
      <c r="N436" s="1" t="s">
        <v>8173</v>
      </c>
    </row>
    <row r="437" spans="1:14">
      <c r="A437" s="1" t="s">
        <v>1815</v>
      </c>
      <c r="B437" s="1" t="s">
        <v>1816</v>
      </c>
      <c r="C437" s="1" t="s">
        <v>1817</v>
      </c>
      <c r="D437" s="1" t="s">
        <v>1996</v>
      </c>
      <c r="E437" s="1" t="s">
        <v>9465</v>
      </c>
      <c r="F437" s="1" t="s">
        <v>7393</v>
      </c>
      <c r="G437" t="s">
        <v>9466</v>
      </c>
      <c r="H437">
        <v>731574</v>
      </c>
      <c r="I437" s="1" t="s">
        <v>1819</v>
      </c>
      <c r="J437" s="44" t="s">
        <v>1819</v>
      </c>
      <c r="K437" s="44" t="s">
        <v>5416</v>
      </c>
      <c r="L437" s="1" t="s">
        <v>7747</v>
      </c>
      <c r="M437" s="1" t="s">
        <v>5971</v>
      </c>
      <c r="N437" s="1" t="s">
        <v>8173</v>
      </c>
    </row>
    <row r="438" spans="1:14">
      <c r="A438" s="1" t="s">
        <v>1820</v>
      </c>
      <c r="B438" s="1" t="s">
        <v>1821</v>
      </c>
      <c r="C438" s="1" t="s">
        <v>1822</v>
      </c>
      <c r="D438" s="1" t="s">
        <v>2001</v>
      </c>
      <c r="E438" s="1" t="s">
        <v>9467</v>
      </c>
      <c r="F438" s="1" t="s">
        <v>9468</v>
      </c>
      <c r="G438" t="s">
        <v>9469</v>
      </c>
      <c r="H438">
        <v>729042</v>
      </c>
      <c r="I438" s="1" t="s">
        <v>1824</v>
      </c>
      <c r="J438" s="44" t="s">
        <v>1824</v>
      </c>
      <c r="K438" s="44" t="s">
        <v>5844</v>
      </c>
      <c r="L438" s="1" t="s">
        <v>6397</v>
      </c>
      <c r="M438" s="1" t="s">
        <v>7175</v>
      </c>
      <c r="N438" s="1" t="s">
        <v>8080</v>
      </c>
    </row>
    <row r="439" spans="1:14">
      <c r="A439" s="1" t="s">
        <v>1651</v>
      </c>
      <c r="B439" s="1" t="s">
        <v>1652</v>
      </c>
      <c r="C439" s="1" t="s">
        <v>1653</v>
      </c>
      <c r="D439" s="1" t="s">
        <v>2005</v>
      </c>
      <c r="E439" s="1" t="s">
        <v>9470</v>
      </c>
      <c r="F439" s="1" t="s">
        <v>6033</v>
      </c>
      <c r="G439" t="s">
        <v>9471</v>
      </c>
      <c r="H439">
        <v>727503</v>
      </c>
      <c r="I439" s="1" t="s">
        <v>9472</v>
      </c>
      <c r="J439" s="44" t="s">
        <v>9472</v>
      </c>
      <c r="K439" s="44" t="s">
        <v>5067</v>
      </c>
      <c r="L439" s="1" t="s">
        <v>9473</v>
      </c>
      <c r="M439" s="1" t="s">
        <v>9474</v>
      </c>
      <c r="N439" s="1" t="s">
        <v>8152</v>
      </c>
    </row>
    <row r="440" spans="1:14">
      <c r="A440" s="1" t="s">
        <v>1739</v>
      </c>
      <c r="B440" s="1" t="s">
        <v>1740</v>
      </c>
      <c r="C440" s="1" t="s">
        <v>1741</v>
      </c>
      <c r="D440" s="1" t="s">
        <v>2009</v>
      </c>
      <c r="E440" s="1" t="s">
        <v>9475</v>
      </c>
      <c r="F440" s="1" t="s">
        <v>5396</v>
      </c>
      <c r="G440" t="s">
        <v>9476</v>
      </c>
      <c r="H440">
        <v>727277</v>
      </c>
      <c r="I440" s="1" t="s">
        <v>1743</v>
      </c>
      <c r="J440" s="44" t="s">
        <v>1744</v>
      </c>
      <c r="K440" s="44" t="s">
        <v>7884</v>
      </c>
      <c r="L440" s="1" t="s">
        <v>9477</v>
      </c>
      <c r="M440" s="1" t="s">
        <v>9478</v>
      </c>
      <c r="N440" s="1" t="s">
        <v>8090</v>
      </c>
    </row>
    <row r="441" spans="1:14">
      <c r="A441" s="1" t="s">
        <v>1749</v>
      </c>
      <c r="B441" s="1" t="s">
        <v>1750</v>
      </c>
      <c r="C441" s="1" t="s">
        <v>1751</v>
      </c>
      <c r="D441" s="1" t="s">
        <v>2014</v>
      </c>
      <c r="E441" s="1" t="s">
        <v>9479</v>
      </c>
      <c r="F441" s="1" t="s">
        <v>1709</v>
      </c>
      <c r="G441" t="s">
        <v>9480</v>
      </c>
      <c r="H441">
        <v>708389</v>
      </c>
      <c r="I441" s="1" t="s">
        <v>9481</v>
      </c>
      <c r="J441" s="44" t="s">
        <v>9481</v>
      </c>
      <c r="K441" s="44" t="s">
        <v>6303</v>
      </c>
      <c r="L441" s="1" t="s">
        <v>5628</v>
      </c>
      <c r="M441" s="1" t="s">
        <v>5859</v>
      </c>
      <c r="N441" s="1" t="s">
        <v>8263</v>
      </c>
    </row>
    <row r="442" spans="1:14">
      <c r="A442" s="1" t="s">
        <v>1691</v>
      </c>
      <c r="B442" s="1" t="s">
        <v>1692</v>
      </c>
      <c r="C442" s="1" t="s">
        <v>1693</v>
      </c>
      <c r="D442" s="1" t="s">
        <v>2018</v>
      </c>
      <c r="E442" s="1" t="s">
        <v>9482</v>
      </c>
      <c r="F442" s="1" t="s">
        <v>7705</v>
      </c>
      <c r="G442" t="s">
        <v>9483</v>
      </c>
      <c r="H442">
        <v>698493</v>
      </c>
      <c r="I442" s="1" t="s">
        <v>9484</v>
      </c>
      <c r="J442" s="44" t="s">
        <v>9484</v>
      </c>
      <c r="K442" s="44" t="s">
        <v>5830</v>
      </c>
      <c r="L442" s="1" t="s">
        <v>5380</v>
      </c>
      <c r="M442" s="1" t="s">
        <v>7348</v>
      </c>
      <c r="N442" s="1" t="s">
        <v>8162</v>
      </c>
    </row>
    <row r="443" spans="1:14">
      <c r="A443" s="1" t="s">
        <v>2528</v>
      </c>
      <c r="B443" s="1" t="s">
        <v>2529</v>
      </c>
      <c r="C443" s="1" t="s">
        <v>2529</v>
      </c>
      <c r="D443" s="1" t="s">
        <v>2022</v>
      </c>
      <c r="E443" s="1" t="s">
        <v>9485</v>
      </c>
      <c r="F443" s="1" t="s">
        <v>6727</v>
      </c>
      <c r="G443" t="s">
        <v>9486</v>
      </c>
      <c r="H443">
        <v>697692</v>
      </c>
      <c r="I443" s="1" t="s">
        <v>2531</v>
      </c>
      <c r="J443" s="44" t="s">
        <v>2531</v>
      </c>
      <c r="K443" s="44" t="s">
        <v>5067</v>
      </c>
      <c r="L443" s="1" t="s">
        <v>9487</v>
      </c>
      <c r="M443" s="1" t="s">
        <v>5109</v>
      </c>
      <c r="N443" s="1" t="s">
        <v>8070</v>
      </c>
    </row>
    <row r="444" spans="1:14">
      <c r="A444" s="1" t="s">
        <v>1902</v>
      </c>
      <c r="B444" s="1" t="s">
        <v>1903</v>
      </c>
      <c r="C444" s="1" t="s">
        <v>1904</v>
      </c>
      <c r="D444" s="1" t="s">
        <v>2026</v>
      </c>
      <c r="E444" s="1" t="s">
        <v>9488</v>
      </c>
      <c r="F444" s="1" t="s">
        <v>7612</v>
      </c>
      <c r="G444" t="s">
        <v>9489</v>
      </c>
      <c r="H444">
        <v>693891</v>
      </c>
      <c r="I444" s="1" t="s">
        <v>9490</v>
      </c>
      <c r="J444" s="44" t="s">
        <v>9490</v>
      </c>
      <c r="K444" s="44" t="s">
        <v>9491</v>
      </c>
      <c r="L444" s="1" t="s">
        <v>7567</v>
      </c>
      <c r="M444" s="1" t="s">
        <v>7137</v>
      </c>
      <c r="N444" s="1" t="s">
        <v>8080</v>
      </c>
    </row>
    <row r="445" spans="1:14">
      <c r="A445" s="1" t="s">
        <v>1836</v>
      </c>
      <c r="B445" s="1" t="s">
        <v>1837</v>
      </c>
      <c r="C445" s="1" t="s">
        <v>1838</v>
      </c>
      <c r="D445" s="1" t="s">
        <v>2030</v>
      </c>
      <c r="E445" s="1" t="s">
        <v>9492</v>
      </c>
      <c r="F445" s="1" t="s">
        <v>6241</v>
      </c>
      <c r="G445" t="s">
        <v>9493</v>
      </c>
      <c r="H445">
        <v>664414</v>
      </c>
      <c r="I445" s="1" t="s">
        <v>9494</v>
      </c>
      <c r="J445" s="44" t="s">
        <v>9495</v>
      </c>
      <c r="K445" s="44" t="s">
        <v>5001</v>
      </c>
      <c r="L445" s="1" t="s">
        <v>7356</v>
      </c>
      <c r="M445" s="1" t="s">
        <v>6670</v>
      </c>
      <c r="N445" s="1" t="s">
        <v>8080</v>
      </c>
    </row>
    <row r="446" spans="1:14">
      <c r="A446" s="1" t="s">
        <v>2429</v>
      </c>
      <c r="B446" s="1" t="s">
        <v>2430</v>
      </c>
      <c r="C446" s="1" t="s">
        <v>2431</v>
      </c>
      <c r="D446" s="1" t="s">
        <v>2036</v>
      </c>
      <c r="E446" s="1" t="s">
        <v>9496</v>
      </c>
      <c r="F446" s="1" t="s">
        <v>7985</v>
      </c>
      <c r="G446" t="s">
        <v>9497</v>
      </c>
      <c r="H446">
        <v>660551</v>
      </c>
      <c r="I446" s="1" t="s">
        <v>2433</v>
      </c>
      <c r="J446" s="44" t="s">
        <v>2433</v>
      </c>
      <c r="K446" s="44" t="s">
        <v>7138</v>
      </c>
      <c r="L446" s="1" t="s">
        <v>7390</v>
      </c>
      <c r="M446" s="1" t="s">
        <v>7790</v>
      </c>
      <c r="N446" s="1" t="s">
        <v>8173</v>
      </c>
    </row>
    <row r="447" spans="1:14">
      <c r="A447" s="1" t="s">
        <v>1553</v>
      </c>
      <c r="B447" s="1" t="s">
        <v>1554</v>
      </c>
      <c r="C447" s="1" t="s">
        <v>1555</v>
      </c>
      <c r="D447" s="1" t="s">
        <v>2041</v>
      </c>
      <c r="E447" s="1" t="s">
        <v>9498</v>
      </c>
      <c r="F447" s="1" t="s">
        <v>7705</v>
      </c>
      <c r="G447" t="s">
        <v>9499</v>
      </c>
      <c r="H447">
        <v>651919</v>
      </c>
      <c r="I447" s="1" t="s">
        <v>7527</v>
      </c>
      <c r="J447" s="44" t="s">
        <v>7527</v>
      </c>
      <c r="K447" s="44" t="s">
        <v>5734</v>
      </c>
      <c r="L447" s="1" t="s">
        <v>6593</v>
      </c>
      <c r="M447" s="1" t="s">
        <v>7429</v>
      </c>
      <c r="N447" s="1" t="s">
        <v>8483</v>
      </c>
    </row>
    <row r="448" spans="1:14">
      <c r="A448" s="1" t="s">
        <v>1840</v>
      </c>
      <c r="B448" s="1" t="s">
        <v>1841</v>
      </c>
      <c r="C448" s="1" t="s">
        <v>1842</v>
      </c>
      <c r="D448" s="1" t="s">
        <v>2045</v>
      </c>
      <c r="E448" s="1" t="s">
        <v>9500</v>
      </c>
      <c r="F448" s="1" t="s">
        <v>6728</v>
      </c>
      <c r="G448" t="s">
        <v>9501</v>
      </c>
      <c r="H448">
        <v>648059</v>
      </c>
      <c r="I448" s="1" t="s">
        <v>1844</v>
      </c>
      <c r="J448" s="44" t="s">
        <v>1844</v>
      </c>
      <c r="K448" s="44" t="s">
        <v>5405</v>
      </c>
      <c r="L448" s="1" t="s">
        <v>7656</v>
      </c>
      <c r="M448" s="1" t="s">
        <v>6072</v>
      </c>
      <c r="N448" s="1" t="s">
        <v>8090</v>
      </c>
    </row>
    <row r="449" spans="1:14">
      <c r="A449" s="1" t="s">
        <v>1993</v>
      </c>
      <c r="B449" s="1" t="s">
        <v>1994</v>
      </c>
      <c r="C449" s="1" t="s">
        <v>1995</v>
      </c>
      <c r="D449" s="1" t="s">
        <v>2050</v>
      </c>
      <c r="E449" s="1" t="s">
        <v>9502</v>
      </c>
      <c r="F449" s="1" t="s">
        <v>3168</v>
      </c>
      <c r="G449" t="s">
        <v>9503</v>
      </c>
      <c r="H449">
        <v>640614</v>
      </c>
      <c r="I449" s="1" t="s">
        <v>9504</v>
      </c>
      <c r="J449" s="44" t="s">
        <v>9504</v>
      </c>
      <c r="K449" s="44" t="s">
        <v>5050</v>
      </c>
      <c r="L449" s="1" t="s">
        <v>5922</v>
      </c>
      <c r="M449" s="1" t="s">
        <v>6568</v>
      </c>
      <c r="N449" s="1" t="s">
        <v>8102</v>
      </c>
    </row>
    <row r="450" spans="1:14">
      <c r="A450" s="1" t="s">
        <v>1870</v>
      </c>
      <c r="B450" s="1" t="s">
        <v>1871</v>
      </c>
      <c r="C450" s="1" t="s">
        <v>1872</v>
      </c>
      <c r="D450" s="1" t="s">
        <v>2055</v>
      </c>
      <c r="E450" s="1" t="s">
        <v>9505</v>
      </c>
      <c r="F450" s="1" t="s">
        <v>7613</v>
      </c>
      <c r="G450" t="s">
        <v>9506</v>
      </c>
      <c r="H450">
        <v>628464</v>
      </c>
      <c r="I450" s="1" t="s">
        <v>9507</v>
      </c>
      <c r="J450" s="44" t="s">
        <v>9508</v>
      </c>
      <c r="K450" s="44" t="s">
        <v>6460</v>
      </c>
      <c r="L450" s="1" t="s">
        <v>7974</v>
      </c>
      <c r="M450" s="1" t="s">
        <v>7028</v>
      </c>
      <c r="N450" s="1" t="s">
        <v>8102</v>
      </c>
    </row>
    <row r="451" spans="1:14">
      <c r="A451" s="1" t="s">
        <v>4064</v>
      </c>
      <c r="B451" s="1" t="s">
        <v>1812</v>
      </c>
      <c r="C451" s="1" t="s">
        <v>4065</v>
      </c>
      <c r="D451" s="1" t="s">
        <v>2060</v>
      </c>
      <c r="E451" s="1" t="s">
        <v>9509</v>
      </c>
      <c r="F451" s="1" t="s">
        <v>7129</v>
      </c>
      <c r="G451" t="s">
        <v>9510</v>
      </c>
      <c r="H451">
        <v>623246</v>
      </c>
      <c r="I451" s="1" t="s">
        <v>4936</v>
      </c>
      <c r="J451" s="44" t="s">
        <v>4937</v>
      </c>
      <c r="K451" s="44" t="s">
        <v>6495</v>
      </c>
      <c r="L451" s="1" t="s">
        <v>6946</v>
      </c>
      <c r="M451" s="1" t="s">
        <v>9511</v>
      </c>
      <c r="N451" s="1" t="s">
        <v>8213</v>
      </c>
    </row>
    <row r="452" spans="1:14">
      <c r="A452" s="1" t="s">
        <v>1929</v>
      </c>
      <c r="B452" s="1" t="s">
        <v>1930</v>
      </c>
      <c r="C452" s="1" t="s">
        <v>1931</v>
      </c>
      <c r="D452" s="1" t="s">
        <v>2065</v>
      </c>
      <c r="E452" s="1" t="s">
        <v>9512</v>
      </c>
      <c r="F452" s="1" t="s">
        <v>6242</v>
      </c>
      <c r="G452" t="s">
        <v>9513</v>
      </c>
      <c r="H452">
        <v>619151</v>
      </c>
      <c r="I452" s="1" t="s">
        <v>1933</v>
      </c>
      <c r="J452" s="44" t="s">
        <v>1933</v>
      </c>
      <c r="K452" s="44" t="s">
        <v>5067</v>
      </c>
      <c r="L452" s="1" t="s">
        <v>7340</v>
      </c>
      <c r="M452" s="1" t="s">
        <v>6508</v>
      </c>
      <c r="N452" s="1" t="s">
        <v>8173</v>
      </c>
    </row>
    <row r="453" spans="1:14">
      <c r="A453" s="1" t="s">
        <v>2682</v>
      </c>
      <c r="B453" s="1" t="s">
        <v>2683</v>
      </c>
      <c r="C453" s="1" t="s">
        <v>2684</v>
      </c>
      <c r="D453" s="1" t="s">
        <v>2070</v>
      </c>
      <c r="E453" s="1" t="s">
        <v>9514</v>
      </c>
      <c r="F453" s="1" t="s">
        <v>5924</v>
      </c>
      <c r="G453" t="s">
        <v>9515</v>
      </c>
      <c r="H453">
        <v>569260</v>
      </c>
      <c r="I453" s="1" t="s">
        <v>6245</v>
      </c>
      <c r="J453" s="44" t="s">
        <v>6245</v>
      </c>
      <c r="K453" s="44" t="s">
        <v>5990</v>
      </c>
      <c r="L453" s="1" t="s">
        <v>7097</v>
      </c>
      <c r="M453" s="1" t="s">
        <v>9516</v>
      </c>
      <c r="N453" s="1" t="s">
        <v>8085</v>
      </c>
    </row>
    <row r="454" spans="1:14">
      <c r="A454" s="1" t="s">
        <v>1884</v>
      </c>
      <c r="B454" s="1" t="s">
        <v>1885</v>
      </c>
      <c r="C454" s="1" t="s">
        <v>1886</v>
      </c>
      <c r="D454" s="1" t="s">
        <v>2075</v>
      </c>
      <c r="E454" s="1" t="s">
        <v>9517</v>
      </c>
      <c r="F454" s="1" t="s">
        <v>7766</v>
      </c>
      <c r="G454" t="s">
        <v>9518</v>
      </c>
      <c r="H454">
        <v>551015</v>
      </c>
      <c r="I454" s="1" t="s">
        <v>1888</v>
      </c>
      <c r="J454" s="44" t="s">
        <v>1889</v>
      </c>
      <c r="K454" s="44" t="s">
        <v>6330</v>
      </c>
      <c r="L454" s="1" t="s">
        <v>7915</v>
      </c>
      <c r="M454" s="1"/>
      <c r="N454" s="1" t="s">
        <v>8396</v>
      </c>
    </row>
    <row r="455" spans="1:14">
      <c r="A455" s="1" t="s">
        <v>1938</v>
      </c>
      <c r="B455" s="1" t="s">
        <v>1939</v>
      </c>
      <c r="C455" s="1" t="s">
        <v>1940</v>
      </c>
      <c r="D455" s="1" t="s">
        <v>2079</v>
      </c>
      <c r="E455" s="1" t="s">
        <v>9519</v>
      </c>
      <c r="F455" s="1" t="s">
        <v>7842</v>
      </c>
      <c r="G455" t="s">
        <v>9520</v>
      </c>
      <c r="H455">
        <v>549220</v>
      </c>
      <c r="I455" s="1" t="s">
        <v>9521</v>
      </c>
      <c r="J455" s="44" t="s">
        <v>9521</v>
      </c>
      <c r="K455" s="44" t="s">
        <v>5549</v>
      </c>
      <c r="L455" s="1" t="s">
        <v>9522</v>
      </c>
      <c r="M455" s="1" t="s">
        <v>5627</v>
      </c>
      <c r="N455" s="1" t="s">
        <v>8121</v>
      </c>
    </row>
    <row r="456" spans="1:14">
      <c r="A456" s="1" t="s">
        <v>1898</v>
      </c>
      <c r="B456" s="1" t="s">
        <v>1899</v>
      </c>
      <c r="C456" s="1" t="s">
        <v>1900</v>
      </c>
      <c r="D456" s="1" t="s">
        <v>2083</v>
      </c>
      <c r="E456" s="1" t="s">
        <v>9523</v>
      </c>
      <c r="F456" s="1" t="s">
        <v>9524</v>
      </c>
      <c r="G456" t="s">
        <v>9525</v>
      </c>
      <c r="H456">
        <v>538817</v>
      </c>
      <c r="I456" s="1" t="s">
        <v>9526</v>
      </c>
      <c r="J456" s="44" t="s">
        <v>9527</v>
      </c>
      <c r="K456" s="44" t="s">
        <v>5922</v>
      </c>
      <c r="L456" s="1" t="s">
        <v>6506</v>
      </c>
      <c r="M456" s="1" t="s">
        <v>6084</v>
      </c>
      <c r="N456" s="1" t="s">
        <v>8102</v>
      </c>
    </row>
    <row r="457" spans="1:14">
      <c r="A457" s="1" t="s">
        <v>1959</v>
      </c>
      <c r="B457" s="1" t="s">
        <v>1960</v>
      </c>
      <c r="C457" s="1" t="s">
        <v>1961</v>
      </c>
      <c r="D457" s="1" t="s">
        <v>2087</v>
      </c>
      <c r="E457" s="1" t="s">
        <v>9528</v>
      </c>
      <c r="F457" s="1" t="s">
        <v>7844</v>
      </c>
      <c r="G457" t="s">
        <v>9529</v>
      </c>
      <c r="H457">
        <v>533161</v>
      </c>
      <c r="I457" s="1" t="s">
        <v>5692</v>
      </c>
      <c r="J457" s="44" t="s">
        <v>5692</v>
      </c>
      <c r="K457" s="44" t="s">
        <v>7255</v>
      </c>
      <c r="L457" s="1" t="s">
        <v>8019</v>
      </c>
      <c r="M457" s="1" t="s">
        <v>9530</v>
      </c>
      <c r="N457" s="1" t="s">
        <v>8112</v>
      </c>
    </row>
    <row r="458" spans="1:14">
      <c r="A458" s="1" t="s">
        <v>2409</v>
      </c>
      <c r="B458" s="1" t="s">
        <v>2410</v>
      </c>
      <c r="C458" s="1" t="s">
        <v>2411</v>
      </c>
      <c r="D458" s="1" t="s">
        <v>2091</v>
      </c>
      <c r="E458" s="1" t="s">
        <v>9531</v>
      </c>
      <c r="F458" s="1" t="s">
        <v>6243</v>
      </c>
      <c r="G458" t="s">
        <v>9532</v>
      </c>
      <c r="H458">
        <v>528073</v>
      </c>
      <c r="I458" s="1" t="s">
        <v>2413</v>
      </c>
      <c r="J458" s="44" t="s">
        <v>2414</v>
      </c>
      <c r="K458" s="44" t="s">
        <v>5001</v>
      </c>
      <c r="L458" s="1" t="s">
        <v>6978</v>
      </c>
      <c r="M458" s="1" t="s">
        <v>6478</v>
      </c>
      <c r="N458" s="1" t="s">
        <v>8171</v>
      </c>
    </row>
    <row r="459" spans="1:14">
      <c r="A459" s="1" t="s">
        <v>4088</v>
      </c>
      <c r="B459" s="1" t="s">
        <v>4089</v>
      </c>
      <c r="C459" s="1" t="s">
        <v>4090</v>
      </c>
      <c r="D459" s="1" t="s">
        <v>2096</v>
      </c>
      <c r="E459" s="1" t="s">
        <v>9533</v>
      </c>
      <c r="F459" s="1" t="s">
        <v>9534</v>
      </c>
      <c r="G459" t="s">
        <v>9535</v>
      </c>
      <c r="H459">
        <v>521341</v>
      </c>
      <c r="I459" s="1" t="s">
        <v>4930</v>
      </c>
      <c r="J459" s="44" t="s">
        <v>4092</v>
      </c>
      <c r="K459" s="44" t="s">
        <v>9536</v>
      </c>
      <c r="L459" s="1" t="s">
        <v>9537</v>
      </c>
      <c r="M459" s="1" t="s">
        <v>7778</v>
      </c>
      <c r="N459" s="1" t="s">
        <v>8171</v>
      </c>
    </row>
    <row r="460" spans="1:14">
      <c r="A460" s="1" t="s">
        <v>2981</v>
      </c>
      <c r="B460" s="1" t="s">
        <v>2982</v>
      </c>
      <c r="C460" s="1" t="s">
        <v>2983</v>
      </c>
      <c r="D460" s="1" t="s">
        <v>2100</v>
      </c>
      <c r="E460" s="1" t="s">
        <v>9538</v>
      </c>
      <c r="F460" s="1" t="s">
        <v>7767</v>
      </c>
      <c r="G460" t="s">
        <v>9539</v>
      </c>
      <c r="H460">
        <v>512224</v>
      </c>
      <c r="I460" s="1" t="s">
        <v>5919</v>
      </c>
      <c r="J460" s="44" t="s">
        <v>2985</v>
      </c>
      <c r="K460" s="44" t="s">
        <v>7312</v>
      </c>
      <c r="L460" s="1" t="s">
        <v>9540</v>
      </c>
      <c r="M460" s="1"/>
      <c r="N460" s="1" t="s">
        <v>8171</v>
      </c>
    </row>
    <row r="461" spans="1:14">
      <c r="A461" s="1" t="s">
        <v>2076</v>
      </c>
      <c r="B461" s="1" t="s">
        <v>2077</v>
      </c>
      <c r="C461" s="1" t="s">
        <v>2078</v>
      </c>
      <c r="D461" s="1" t="s">
        <v>2104</v>
      </c>
      <c r="E461" s="1" t="s">
        <v>9541</v>
      </c>
      <c r="F461" s="1" t="s">
        <v>7399</v>
      </c>
      <c r="G461" t="s">
        <v>9542</v>
      </c>
      <c r="H461">
        <v>511786</v>
      </c>
      <c r="I461" s="1" t="s">
        <v>5408</v>
      </c>
      <c r="J461" s="44" t="s">
        <v>5408</v>
      </c>
      <c r="K461" s="44" t="s">
        <v>5404</v>
      </c>
      <c r="L461" s="1" t="s">
        <v>7792</v>
      </c>
      <c r="M461" s="1" t="s">
        <v>9543</v>
      </c>
      <c r="N461" s="1" t="s">
        <v>8396</v>
      </c>
    </row>
    <row r="462" spans="1:14">
      <c r="A462" s="1" t="s">
        <v>2404</v>
      </c>
      <c r="B462" s="1" t="s">
        <v>2405</v>
      </c>
      <c r="C462" s="1" t="s">
        <v>2406</v>
      </c>
      <c r="D462" s="1" t="s">
        <v>2109</v>
      </c>
      <c r="E462" s="1" t="s">
        <v>7986</v>
      </c>
      <c r="F462" s="1" t="s">
        <v>5702</v>
      </c>
      <c r="G462" t="s">
        <v>9544</v>
      </c>
      <c r="H462">
        <v>506179</v>
      </c>
      <c r="I462" s="1" t="s">
        <v>2408</v>
      </c>
      <c r="J462" s="44" t="s">
        <v>2408</v>
      </c>
      <c r="K462" s="44" t="s">
        <v>5767</v>
      </c>
      <c r="L462" s="1" t="s">
        <v>9545</v>
      </c>
      <c r="M462" s="1" t="s">
        <v>9546</v>
      </c>
      <c r="N462" s="1" t="s">
        <v>8085</v>
      </c>
    </row>
    <row r="463" spans="1:14">
      <c r="A463" s="1" t="s">
        <v>2466</v>
      </c>
      <c r="B463" s="1" t="s">
        <v>2467</v>
      </c>
      <c r="C463" s="1" t="s">
        <v>2468</v>
      </c>
      <c r="D463" s="1" t="s">
        <v>2114</v>
      </c>
      <c r="E463" s="1" t="s">
        <v>8972</v>
      </c>
      <c r="F463" s="1" t="s">
        <v>1261</v>
      </c>
      <c r="G463" t="s">
        <v>9547</v>
      </c>
      <c r="H463">
        <v>504819</v>
      </c>
      <c r="I463" s="1" t="s">
        <v>9548</v>
      </c>
      <c r="J463" s="44" t="s">
        <v>9548</v>
      </c>
      <c r="K463" s="44" t="s">
        <v>5067</v>
      </c>
      <c r="L463" s="1" t="s">
        <v>7715</v>
      </c>
      <c r="M463" s="1" t="s">
        <v>7608</v>
      </c>
      <c r="N463" s="1" t="s">
        <v>8085</v>
      </c>
    </row>
    <row r="464" spans="1:14">
      <c r="A464" s="1" t="s">
        <v>2676</v>
      </c>
      <c r="B464" s="1" t="s">
        <v>2677</v>
      </c>
      <c r="C464" s="1" t="s">
        <v>2678</v>
      </c>
      <c r="D464" s="1" t="s">
        <v>2119</v>
      </c>
      <c r="E464" s="1" t="s">
        <v>9549</v>
      </c>
      <c r="F464" s="1" t="s">
        <v>9550</v>
      </c>
      <c r="G464" t="s">
        <v>9551</v>
      </c>
      <c r="H464">
        <v>488122</v>
      </c>
      <c r="I464" s="1" t="s">
        <v>2680</v>
      </c>
      <c r="J464" s="44" t="s">
        <v>2681</v>
      </c>
      <c r="K464" s="44" t="s">
        <v>1081</v>
      </c>
      <c r="L464" s="1" t="s">
        <v>9552</v>
      </c>
      <c r="M464" s="1" t="s">
        <v>9553</v>
      </c>
      <c r="N464" s="1" t="s">
        <v>8102</v>
      </c>
    </row>
    <row r="465" spans="1:14">
      <c r="A465" s="1" t="s">
        <v>1007</v>
      </c>
      <c r="B465" s="1" t="s">
        <v>1008</v>
      </c>
      <c r="C465" s="1" t="s">
        <v>1009</v>
      </c>
      <c r="D465" s="1" t="s">
        <v>2123</v>
      </c>
      <c r="E465" s="1" t="s">
        <v>7845</v>
      </c>
      <c r="F465" s="1" t="s">
        <v>1917</v>
      </c>
      <c r="G465" t="s">
        <v>9554</v>
      </c>
      <c r="H465">
        <v>486938</v>
      </c>
      <c r="I465" s="1" t="s">
        <v>9555</v>
      </c>
      <c r="J465" s="44" t="s">
        <v>9556</v>
      </c>
      <c r="K465" s="44" t="s">
        <v>8008</v>
      </c>
      <c r="L465" s="1" t="s">
        <v>9557</v>
      </c>
      <c r="M465" s="1" t="s">
        <v>9558</v>
      </c>
      <c r="N465" s="1" t="s">
        <v>8080</v>
      </c>
    </row>
    <row r="466" spans="1:14">
      <c r="A466" s="1" t="s">
        <v>1894</v>
      </c>
      <c r="B466" s="1" t="s">
        <v>1895</v>
      </c>
      <c r="C466" s="1" t="s">
        <v>1896</v>
      </c>
      <c r="D466" s="1" t="s">
        <v>2128</v>
      </c>
      <c r="E466" s="1" t="s">
        <v>9559</v>
      </c>
      <c r="F466" s="1" t="s">
        <v>9560</v>
      </c>
      <c r="G466" t="s">
        <v>9561</v>
      </c>
      <c r="H466">
        <v>478303</v>
      </c>
      <c r="I466" s="1" t="s">
        <v>9562</v>
      </c>
      <c r="J466" s="44" t="s">
        <v>9562</v>
      </c>
      <c r="K466" s="44" t="s">
        <v>7158</v>
      </c>
      <c r="L466" s="1" t="s">
        <v>6993</v>
      </c>
      <c r="M466" s="1" t="s">
        <v>6651</v>
      </c>
      <c r="N466" s="1" t="s">
        <v>8137</v>
      </c>
    </row>
    <row r="467" spans="1:14">
      <c r="A467" s="1" t="s">
        <v>1878</v>
      </c>
      <c r="B467" s="1" t="s">
        <v>1879</v>
      </c>
      <c r="C467" s="1" t="s">
        <v>1880</v>
      </c>
      <c r="D467" s="1" t="s">
        <v>2133</v>
      </c>
      <c r="E467" s="1" t="s">
        <v>9563</v>
      </c>
      <c r="F467" s="1" t="s">
        <v>7846</v>
      </c>
      <c r="G467" t="s">
        <v>9564</v>
      </c>
      <c r="H467">
        <v>465324</v>
      </c>
      <c r="I467" s="1" t="s">
        <v>1882</v>
      </c>
      <c r="J467" s="44" t="s">
        <v>1883</v>
      </c>
      <c r="K467" s="44" t="s">
        <v>5654</v>
      </c>
      <c r="L467" s="1" t="s">
        <v>9565</v>
      </c>
      <c r="M467" s="1" t="s">
        <v>7456</v>
      </c>
      <c r="N467" s="1" t="s">
        <v>8162</v>
      </c>
    </row>
    <row r="468" spans="1:14">
      <c r="A468" s="1" t="s">
        <v>2642</v>
      </c>
      <c r="B468" s="1" t="s">
        <v>2643</v>
      </c>
      <c r="C468" s="1" t="s">
        <v>2644</v>
      </c>
      <c r="D468" s="1" t="s">
        <v>2137</v>
      </c>
      <c r="E468" s="1" t="s">
        <v>9566</v>
      </c>
      <c r="F468" s="1" t="s">
        <v>6109</v>
      </c>
      <c r="G468" t="s">
        <v>9567</v>
      </c>
      <c r="H468">
        <v>462869</v>
      </c>
      <c r="I468" s="1" t="s">
        <v>9568</v>
      </c>
      <c r="J468" s="44" t="s">
        <v>9568</v>
      </c>
      <c r="K468" s="44" t="s">
        <v>5062</v>
      </c>
      <c r="L468" s="1" t="s">
        <v>6499</v>
      </c>
      <c r="M468" s="1" t="s">
        <v>6507</v>
      </c>
      <c r="N468" s="1" t="s">
        <v>8173</v>
      </c>
    </row>
    <row r="469" spans="1:14">
      <c r="A469" s="1" t="s">
        <v>2038</v>
      </c>
      <c r="B469" s="1" t="s">
        <v>2039</v>
      </c>
      <c r="C469" s="1" t="s">
        <v>2040</v>
      </c>
      <c r="D469" s="1" t="s">
        <v>2141</v>
      </c>
      <c r="E469" s="1" t="s">
        <v>9569</v>
      </c>
      <c r="F469" s="1" t="s">
        <v>6730</v>
      </c>
      <c r="G469" t="s">
        <v>9570</v>
      </c>
      <c r="H469">
        <v>448571</v>
      </c>
      <c r="I469" s="1" t="s">
        <v>9571</v>
      </c>
      <c r="J469" s="44" t="s">
        <v>9571</v>
      </c>
      <c r="K469" s="44" t="s">
        <v>5067</v>
      </c>
      <c r="L469" s="1" t="s">
        <v>7997</v>
      </c>
      <c r="M469" s="1" t="s">
        <v>5879</v>
      </c>
      <c r="N469" s="1" t="s">
        <v>8162</v>
      </c>
    </row>
    <row r="470" spans="1:14">
      <c r="A470" s="1" t="s">
        <v>2780</v>
      </c>
      <c r="B470" s="1" t="s">
        <v>2781</v>
      </c>
      <c r="C470" s="1" t="s">
        <v>2782</v>
      </c>
      <c r="D470" s="1" t="s">
        <v>2145</v>
      </c>
      <c r="E470" s="1" t="s">
        <v>9572</v>
      </c>
      <c r="F470" s="1" t="s">
        <v>9573</v>
      </c>
      <c r="G470" t="s">
        <v>9574</v>
      </c>
      <c r="H470">
        <v>435640</v>
      </c>
      <c r="I470" s="1" t="s">
        <v>2784</v>
      </c>
      <c r="J470" s="44" t="s">
        <v>199</v>
      </c>
      <c r="K470" s="44" t="s">
        <v>7771</v>
      </c>
      <c r="L470" s="1" t="s">
        <v>9575</v>
      </c>
      <c r="M470" s="1" t="s">
        <v>9576</v>
      </c>
      <c r="N470" s="1" t="s">
        <v>8213</v>
      </c>
    </row>
    <row r="471" spans="1:14">
      <c r="A471" s="1" t="s">
        <v>2002</v>
      </c>
      <c r="B471" s="1" t="s">
        <v>2003</v>
      </c>
      <c r="C471" s="1" t="s">
        <v>2004</v>
      </c>
      <c r="D471" s="1" t="s">
        <v>2151</v>
      </c>
      <c r="E471" s="1" t="s">
        <v>9577</v>
      </c>
      <c r="F471" s="1" t="s">
        <v>6008</v>
      </c>
      <c r="G471" t="s">
        <v>9578</v>
      </c>
      <c r="H471">
        <v>431155</v>
      </c>
      <c r="I471" s="1" t="s">
        <v>53</v>
      </c>
      <c r="J471" s="44" t="s">
        <v>54</v>
      </c>
      <c r="K471" s="44" t="s">
        <v>7775</v>
      </c>
      <c r="L471" s="1" t="s">
        <v>5639</v>
      </c>
      <c r="M471" s="1" t="s">
        <v>6996</v>
      </c>
      <c r="N471" s="1" t="s">
        <v>8137</v>
      </c>
    </row>
    <row r="472" spans="1:14">
      <c r="A472" s="1" t="s">
        <v>1913</v>
      </c>
      <c r="B472" s="1" t="s">
        <v>1914</v>
      </c>
      <c r="C472" s="1" t="s">
        <v>1915</v>
      </c>
      <c r="D472" s="1" t="s">
        <v>2156</v>
      </c>
      <c r="E472" s="1" t="s">
        <v>9579</v>
      </c>
      <c r="F472" s="1" t="s">
        <v>3163</v>
      </c>
      <c r="G472" t="s">
        <v>9580</v>
      </c>
      <c r="H472">
        <v>429576</v>
      </c>
      <c r="I472" s="1" t="s">
        <v>1918</v>
      </c>
      <c r="J472" s="44" t="s">
        <v>1919</v>
      </c>
      <c r="K472" s="44" t="s">
        <v>6119</v>
      </c>
      <c r="L472" s="1" t="s">
        <v>7177</v>
      </c>
      <c r="M472" s="1" t="s">
        <v>9581</v>
      </c>
      <c r="N472" s="1" t="s">
        <v>8173</v>
      </c>
    </row>
    <row r="473" spans="1:14">
      <c r="A473" s="1" t="s">
        <v>2835</v>
      </c>
      <c r="B473" s="1" t="s">
        <v>2836</v>
      </c>
      <c r="C473" s="1" t="s">
        <v>2837</v>
      </c>
      <c r="D473" s="1" t="s">
        <v>2161</v>
      </c>
      <c r="E473" s="1" t="s">
        <v>9582</v>
      </c>
      <c r="F473" s="1" t="s">
        <v>7411</v>
      </c>
      <c r="G473" t="s">
        <v>9583</v>
      </c>
      <c r="H473">
        <v>421478</v>
      </c>
      <c r="I473" s="1" t="s">
        <v>6729</v>
      </c>
      <c r="J473" s="44" t="s">
        <v>6729</v>
      </c>
      <c r="K473" s="44" t="s">
        <v>5864</v>
      </c>
      <c r="L473" s="1" t="s">
        <v>9584</v>
      </c>
      <c r="M473" s="1" t="s">
        <v>9585</v>
      </c>
      <c r="N473" s="1" t="s">
        <v>8137</v>
      </c>
    </row>
    <row r="474" spans="1:14">
      <c r="A474" s="1" t="s">
        <v>4072</v>
      </c>
      <c r="B474" s="1" t="s">
        <v>4073</v>
      </c>
      <c r="C474" s="1" t="s">
        <v>4074</v>
      </c>
      <c r="D474" s="1" t="s">
        <v>2165</v>
      </c>
      <c r="E474" s="1" t="s">
        <v>9586</v>
      </c>
      <c r="F474" s="1" t="s">
        <v>9587</v>
      </c>
      <c r="G474" t="s">
        <v>9588</v>
      </c>
      <c r="H474">
        <v>418689</v>
      </c>
      <c r="I474" s="1" t="s">
        <v>5072</v>
      </c>
      <c r="J474" s="44" t="s">
        <v>5073</v>
      </c>
      <c r="K474" s="44" t="s">
        <v>5670</v>
      </c>
      <c r="L474" s="1" t="s">
        <v>7009</v>
      </c>
      <c r="M474" s="1" t="s">
        <v>7721</v>
      </c>
      <c r="N474" s="1" t="s">
        <v>8121</v>
      </c>
    </row>
    <row r="475" spans="1:14">
      <c r="A475" s="1" t="s">
        <v>2019</v>
      </c>
      <c r="B475" s="1" t="s">
        <v>2020</v>
      </c>
      <c r="C475" s="1" t="s">
        <v>2021</v>
      </c>
      <c r="D475" s="1" t="s">
        <v>2170</v>
      </c>
      <c r="E475" s="1" t="s">
        <v>9589</v>
      </c>
      <c r="F475" s="1" t="s">
        <v>6722</v>
      </c>
      <c r="G475" t="s">
        <v>9590</v>
      </c>
      <c r="H475">
        <v>415460</v>
      </c>
      <c r="I475" s="1" t="s">
        <v>5071</v>
      </c>
      <c r="J475" s="44" t="s">
        <v>5071</v>
      </c>
      <c r="K475" s="44" t="s">
        <v>5543</v>
      </c>
      <c r="L475" s="1" t="s">
        <v>5226</v>
      </c>
      <c r="M475" s="1" t="s">
        <v>9591</v>
      </c>
      <c r="N475" s="1" t="s">
        <v>8121</v>
      </c>
    </row>
    <row r="476" spans="1:14">
      <c r="A476" s="1" t="s">
        <v>1976</v>
      </c>
      <c r="B476" s="1" t="s">
        <v>1977</v>
      </c>
      <c r="C476" s="1" t="s">
        <v>1978</v>
      </c>
      <c r="D476" s="1" t="s">
        <v>2175</v>
      </c>
      <c r="E476" s="1" t="s">
        <v>9592</v>
      </c>
      <c r="F476" s="1" t="s">
        <v>7988</v>
      </c>
      <c r="G476" t="s">
        <v>9593</v>
      </c>
      <c r="H476">
        <v>412948</v>
      </c>
      <c r="I476" s="1" t="s">
        <v>1980</v>
      </c>
      <c r="J476" s="44" t="s">
        <v>9594</v>
      </c>
      <c r="K476" s="44" t="s">
        <v>7243</v>
      </c>
      <c r="L476" s="1" t="s">
        <v>7174</v>
      </c>
      <c r="M476" s="1" t="s">
        <v>9595</v>
      </c>
      <c r="N476" s="1" t="s">
        <v>8186</v>
      </c>
    </row>
    <row r="477" spans="1:14">
      <c r="A477" s="1" t="s">
        <v>4165</v>
      </c>
      <c r="B477" s="1" t="s">
        <v>4166</v>
      </c>
      <c r="C477" s="1" t="s">
        <v>4167</v>
      </c>
      <c r="D477" s="1" t="s">
        <v>2179</v>
      </c>
      <c r="E477" s="1" t="s">
        <v>9596</v>
      </c>
      <c r="F477" s="1" t="s">
        <v>9597</v>
      </c>
      <c r="G477" t="s">
        <v>9598</v>
      </c>
      <c r="H477">
        <v>407386</v>
      </c>
      <c r="I477" s="1" t="s">
        <v>6731</v>
      </c>
      <c r="J477" s="44" t="s">
        <v>7532</v>
      </c>
      <c r="K477" s="44" t="s">
        <v>7335</v>
      </c>
      <c r="L477" s="1" t="s">
        <v>5410</v>
      </c>
      <c r="M477" s="1" t="s">
        <v>5878</v>
      </c>
      <c r="N477" s="1" t="s">
        <v>8070</v>
      </c>
    </row>
    <row r="478" spans="1:14">
      <c r="A478" s="1" t="s">
        <v>1910</v>
      </c>
      <c r="B478" s="1" t="s">
        <v>1911</v>
      </c>
      <c r="C478" s="1" t="s">
        <v>1911</v>
      </c>
      <c r="D478" s="1" t="s">
        <v>2185</v>
      </c>
      <c r="E478" s="1" t="s">
        <v>9599</v>
      </c>
      <c r="F478" s="1" t="s">
        <v>7989</v>
      </c>
      <c r="G478" t="s">
        <v>9600</v>
      </c>
      <c r="H478">
        <v>404201</v>
      </c>
      <c r="I478" s="1" t="s">
        <v>9601</v>
      </c>
      <c r="J478" s="44" t="s">
        <v>9601</v>
      </c>
      <c r="K478" s="44" t="s">
        <v>5625</v>
      </c>
      <c r="L478" s="1" t="s">
        <v>6661</v>
      </c>
      <c r="M478" s="1" t="s">
        <v>7669</v>
      </c>
      <c r="N478" s="1" t="s">
        <v>8080</v>
      </c>
    </row>
    <row r="479" spans="1:14">
      <c r="A479" s="1" t="s">
        <v>1811</v>
      </c>
      <c r="B479" s="1" t="s">
        <v>1812</v>
      </c>
      <c r="C479" s="1" t="s">
        <v>1813</v>
      </c>
      <c r="D479" s="1" t="s">
        <v>2189</v>
      </c>
      <c r="E479" s="1" t="s">
        <v>9602</v>
      </c>
      <c r="F479" s="1" t="s">
        <v>6094</v>
      </c>
      <c r="G479" t="s">
        <v>9603</v>
      </c>
      <c r="H479">
        <v>399360</v>
      </c>
      <c r="I479" s="1" t="s">
        <v>9604</v>
      </c>
      <c r="J479" s="44" t="s">
        <v>9604</v>
      </c>
      <c r="K479" s="44" t="s">
        <v>6028</v>
      </c>
      <c r="L479" s="1" t="s">
        <v>9605</v>
      </c>
      <c r="M479" s="1" t="s">
        <v>9606</v>
      </c>
      <c r="N479" s="1" t="s">
        <v>8162</v>
      </c>
    </row>
    <row r="480" spans="1:14">
      <c r="A480" s="1" t="s">
        <v>1934</v>
      </c>
      <c r="B480" s="1" t="s">
        <v>1935</v>
      </c>
      <c r="C480" s="1" t="s">
        <v>1936</v>
      </c>
      <c r="D480" s="1" t="s">
        <v>2193</v>
      </c>
      <c r="E480" s="1" t="s">
        <v>9607</v>
      </c>
      <c r="F480" s="1" t="s">
        <v>7781</v>
      </c>
      <c r="G480" t="s">
        <v>9608</v>
      </c>
      <c r="H480">
        <v>386527</v>
      </c>
      <c r="I480" s="1" t="s">
        <v>9609</v>
      </c>
      <c r="J480" s="44" t="s">
        <v>9609</v>
      </c>
      <c r="K480" s="44" t="s">
        <v>6146</v>
      </c>
      <c r="L480" s="1" t="s">
        <v>9610</v>
      </c>
      <c r="M480" s="1" t="s">
        <v>9611</v>
      </c>
      <c r="N480" s="1" t="s">
        <v>8171</v>
      </c>
    </row>
    <row r="481" spans="1:14">
      <c r="A481" s="1" t="s">
        <v>1854</v>
      </c>
      <c r="B481" s="1" t="s">
        <v>1855</v>
      </c>
      <c r="C481" s="1" t="s">
        <v>1856</v>
      </c>
      <c r="D481" s="1" t="s">
        <v>2197</v>
      </c>
      <c r="E481" s="1" t="s">
        <v>7407</v>
      </c>
      <c r="F481" s="1" t="s">
        <v>7408</v>
      </c>
      <c r="G481" t="s">
        <v>7409</v>
      </c>
      <c r="H481">
        <v>374004</v>
      </c>
      <c r="I481" s="1" t="s">
        <v>1858</v>
      </c>
      <c r="J481" s="44" t="s">
        <v>1859</v>
      </c>
      <c r="K481" s="44" t="s">
        <v>5844</v>
      </c>
      <c r="L481" s="1" t="s">
        <v>6592</v>
      </c>
      <c r="M481" s="1" t="s">
        <v>9612</v>
      </c>
      <c r="N481" s="1" t="s">
        <v>8112</v>
      </c>
    </row>
    <row r="482" spans="1:14">
      <c r="A482" s="1" t="s">
        <v>1967</v>
      </c>
      <c r="B482" s="1" t="s">
        <v>1968</v>
      </c>
      <c r="C482" s="1" t="s">
        <v>1969</v>
      </c>
      <c r="D482" s="1" t="s">
        <v>2202</v>
      </c>
      <c r="E482" s="1" t="s">
        <v>9613</v>
      </c>
      <c r="F482" s="1" t="s">
        <v>9614</v>
      </c>
      <c r="G482" t="s">
        <v>9615</v>
      </c>
      <c r="H482">
        <v>370190</v>
      </c>
      <c r="I482" s="1" t="s">
        <v>1971</v>
      </c>
      <c r="J482" s="44" t="s">
        <v>1971</v>
      </c>
      <c r="K482" s="44" t="s">
        <v>5538</v>
      </c>
      <c r="L482" s="1" t="s">
        <v>6057</v>
      </c>
      <c r="M482" s="1" t="s">
        <v>7312</v>
      </c>
      <c r="N482" s="1" t="s">
        <v>8070</v>
      </c>
    </row>
    <row r="483" spans="1:14">
      <c r="A483" s="1" t="s">
        <v>1762</v>
      </c>
      <c r="B483" s="1" t="s">
        <v>1763</v>
      </c>
      <c r="C483" s="1" t="s">
        <v>1764</v>
      </c>
      <c r="D483" s="1" t="s">
        <v>2208</v>
      </c>
      <c r="E483" s="1" t="s">
        <v>9616</v>
      </c>
      <c r="F483" s="1" t="s">
        <v>5560</v>
      </c>
      <c r="G483" t="s">
        <v>9617</v>
      </c>
      <c r="H483">
        <v>369625</v>
      </c>
      <c r="I483" s="1" t="s">
        <v>1766</v>
      </c>
      <c r="J483" s="44" t="s">
        <v>1766</v>
      </c>
      <c r="K483" s="44" t="s">
        <v>5747</v>
      </c>
      <c r="L483" s="1" t="s">
        <v>6162</v>
      </c>
      <c r="M483" s="1" t="s">
        <v>9618</v>
      </c>
      <c r="N483" s="1" t="s">
        <v>8137</v>
      </c>
    </row>
    <row r="484" spans="1:14">
      <c r="A484" s="1" t="s">
        <v>2216</v>
      </c>
      <c r="B484" s="1" t="s">
        <v>2217</v>
      </c>
      <c r="C484" s="1" t="s">
        <v>2218</v>
      </c>
      <c r="D484" s="1" t="s">
        <v>2214</v>
      </c>
      <c r="E484" s="1" t="s">
        <v>9619</v>
      </c>
      <c r="F484" s="1" t="s">
        <v>7708</v>
      </c>
      <c r="G484" t="s">
        <v>9620</v>
      </c>
      <c r="H484">
        <v>367929</v>
      </c>
      <c r="I484" s="1" t="s">
        <v>2221</v>
      </c>
      <c r="J484" s="44" t="s">
        <v>2221</v>
      </c>
      <c r="K484" s="44" t="s">
        <v>7099</v>
      </c>
      <c r="L484" s="1" t="s">
        <v>7857</v>
      </c>
      <c r="M484" s="1" t="s">
        <v>9621</v>
      </c>
      <c r="N484" s="1" t="s">
        <v>8070</v>
      </c>
    </row>
    <row r="485" spans="1:14">
      <c r="A485" s="1" t="s">
        <v>3005</v>
      </c>
      <c r="B485" s="1" t="s">
        <v>3006</v>
      </c>
      <c r="C485" s="1" t="s">
        <v>3007</v>
      </c>
      <c r="D485" s="1" t="s">
        <v>2219</v>
      </c>
      <c r="E485" s="1" t="s">
        <v>9622</v>
      </c>
      <c r="F485" s="1" t="s">
        <v>7619</v>
      </c>
      <c r="G485" t="s">
        <v>9623</v>
      </c>
      <c r="H485">
        <v>357138</v>
      </c>
      <c r="I485" s="1" t="s">
        <v>9624</v>
      </c>
      <c r="J485" s="44" t="s">
        <v>9625</v>
      </c>
      <c r="K485" s="44" t="s">
        <v>5001</v>
      </c>
      <c r="L485" s="1" t="s">
        <v>7316</v>
      </c>
      <c r="M485" s="1" t="s">
        <v>7856</v>
      </c>
      <c r="N485" s="1" t="s">
        <v>8396</v>
      </c>
    </row>
    <row r="486" spans="1:14">
      <c r="A486" s="1" t="s">
        <v>2574</v>
      </c>
      <c r="B486" s="1" t="s">
        <v>2575</v>
      </c>
      <c r="C486" s="1" t="s">
        <v>2576</v>
      </c>
      <c r="D486" s="1" t="s">
        <v>2225</v>
      </c>
      <c r="E486" s="1" t="s">
        <v>9626</v>
      </c>
      <c r="F486" s="1" t="s">
        <v>5947</v>
      </c>
      <c r="G486" t="s">
        <v>9627</v>
      </c>
      <c r="H486">
        <v>351682</v>
      </c>
      <c r="I486" s="1" t="s">
        <v>9628</v>
      </c>
      <c r="J486" s="44" t="s">
        <v>9628</v>
      </c>
      <c r="K486" s="44" t="s">
        <v>5275</v>
      </c>
      <c r="L486" s="1" t="s">
        <v>9629</v>
      </c>
      <c r="M486" s="1" t="s">
        <v>9630</v>
      </c>
      <c r="N486" s="1" t="s">
        <v>8074</v>
      </c>
    </row>
    <row r="487" spans="1:14">
      <c r="A487" s="1" t="s">
        <v>2047</v>
      </c>
      <c r="B487" s="1" t="s">
        <v>2048</v>
      </c>
      <c r="C487" s="1" t="s">
        <v>2049</v>
      </c>
      <c r="D487" s="1" t="s">
        <v>2229</v>
      </c>
      <c r="E487" s="1" t="s">
        <v>9631</v>
      </c>
      <c r="F487" s="1" t="s">
        <v>6910</v>
      </c>
      <c r="G487" t="s">
        <v>9632</v>
      </c>
      <c r="H487">
        <v>339541</v>
      </c>
      <c r="I487" s="1" t="s">
        <v>2051</v>
      </c>
      <c r="J487" s="44" t="s">
        <v>2051</v>
      </c>
      <c r="K487" s="44" t="s">
        <v>7307</v>
      </c>
      <c r="L487" s="1" t="s">
        <v>7614</v>
      </c>
      <c r="M487" s="1" t="s">
        <v>7074</v>
      </c>
      <c r="N487" s="1" t="s">
        <v>8074</v>
      </c>
    </row>
    <row r="488" spans="1:14">
      <c r="A488" s="1" t="s">
        <v>2023</v>
      </c>
      <c r="B488" s="1" t="s">
        <v>2024</v>
      </c>
      <c r="C488" s="1" t="s">
        <v>2025</v>
      </c>
      <c r="D488" s="1" t="s">
        <v>2231</v>
      </c>
      <c r="E488" s="1" t="s">
        <v>9633</v>
      </c>
      <c r="F488" s="1" t="s">
        <v>7533</v>
      </c>
      <c r="G488" t="s">
        <v>9634</v>
      </c>
      <c r="H488">
        <v>337050</v>
      </c>
      <c r="I488" s="1" t="s">
        <v>6257</v>
      </c>
      <c r="J488" s="44" t="s">
        <v>6257</v>
      </c>
      <c r="K488" s="44" t="s">
        <v>5869</v>
      </c>
      <c r="L488" s="1" t="s">
        <v>5628</v>
      </c>
      <c r="M488" s="1" t="s">
        <v>7001</v>
      </c>
      <c r="N488" s="1" t="s">
        <v>8070</v>
      </c>
    </row>
    <row r="489" spans="1:14">
      <c r="A489" s="1" t="s">
        <v>1989</v>
      </c>
      <c r="B489" s="1" t="s">
        <v>1990</v>
      </c>
      <c r="C489" s="1" t="s">
        <v>1991</v>
      </c>
      <c r="D489" s="1" t="s">
        <v>2235</v>
      </c>
      <c r="E489" s="1" t="s">
        <v>9635</v>
      </c>
      <c r="F489" s="1" t="s">
        <v>7141</v>
      </c>
      <c r="G489" t="s">
        <v>9636</v>
      </c>
      <c r="H489">
        <v>333230</v>
      </c>
      <c r="I489" s="1" t="s">
        <v>5289</v>
      </c>
      <c r="J489" s="44" t="s">
        <v>5290</v>
      </c>
      <c r="K489" s="44" t="s">
        <v>5562</v>
      </c>
      <c r="L489" s="1" t="s">
        <v>6590</v>
      </c>
      <c r="M489" s="1" t="s">
        <v>7827</v>
      </c>
      <c r="N489" s="1" t="s">
        <v>8186</v>
      </c>
    </row>
    <row r="490" spans="1:14">
      <c r="A490" s="1" t="s">
        <v>2592</v>
      </c>
      <c r="B490" s="1" t="s">
        <v>2592</v>
      </c>
      <c r="C490" s="1" t="s">
        <v>203</v>
      </c>
      <c r="D490" s="1" t="s">
        <v>2241</v>
      </c>
      <c r="E490" s="1" t="s">
        <v>9637</v>
      </c>
      <c r="F490" s="1" t="s">
        <v>9638</v>
      </c>
      <c r="G490" t="s">
        <v>9639</v>
      </c>
      <c r="H490">
        <v>332540</v>
      </c>
      <c r="I490" s="1" t="s">
        <v>2594</v>
      </c>
      <c r="J490" s="44" t="s">
        <v>2594</v>
      </c>
      <c r="K490" s="44" t="s">
        <v>7234</v>
      </c>
      <c r="L490" s="1" t="s">
        <v>6581</v>
      </c>
      <c r="M490" s="1" t="s">
        <v>7798</v>
      </c>
      <c r="N490" s="1" t="s">
        <v>8085</v>
      </c>
    </row>
    <row r="491" spans="1:14">
      <c r="A491" s="1" t="s">
        <v>2067</v>
      </c>
      <c r="B491" s="1" t="s">
        <v>2068</v>
      </c>
      <c r="C491" s="1" t="s">
        <v>2069</v>
      </c>
      <c r="D491" s="1" t="s">
        <v>2246</v>
      </c>
      <c r="E491" s="1" t="s">
        <v>9640</v>
      </c>
      <c r="F491" s="1" t="s">
        <v>9641</v>
      </c>
      <c r="G491" t="s">
        <v>9642</v>
      </c>
      <c r="H491">
        <v>323845</v>
      </c>
      <c r="I491" s="1" t="s">
        <v>2071</v>
      </c>
      <c r="J491" s="44" t="s">
        <v>98</v>
      </c>
      <c r="K491" s="44" t="s">
        <v>5843</v>
      </c>
      <c r="L491" s="1" t="s">
        <v>6062</v>
      </c>
      <c r="M491" s="1" t="s">
        <v>5900</v>
      </c>
      <c r="N491" s="1" t="s">
        <v>8121</v>
      </c>
    </row>
    <row r="492" spans="1:14">
      <c r="A492" s="1" t="s">
        <v>2062</v>
      </c>
      <c r="B492" s="1" t="s">
        <v>2063</v>
      </c>
      <c r="C492" s="1" t="s">
        <v>2064</v>
      </c>
      <c r="D492" s="1" t="s">
        <v>2250</v>
      </c>
      <c r="E492" s="1" t="s">
        <v>9643</v>
      </c>
      <c r="F492" s="1" t="s">
        <v>6258</v>
      </c>
      <c r="G492" t="s">
        <v>9644</v>
      </c>
      <c r="H492">
        <v>321639</v>
      </c>
      <c r="I492" s="1" t="s">
        <v>2066</v>
      </c>
      <c r="J492" s="44" t="s">
        <v>2066</v>
      </c>
      <c r="K492" s="44" t="s">
        <v>5001</v>
      </c>
      <c r="L492" s="1" t="s">
        <v>7790</v>
      </c>
      <c r="M492" s="1" t="s">
        <v>9645</v>
      </c>
      <c r="N492" s="1" t="s">
        <v>8173</v>
      </c>
    </row>
    <row r="493" spans="1:14">
      <c r="A493" s="1" t="s">
        <v>2629</v>
      </c>
      <c r="B493" s="1" t="s">
        <v>2630</v>
      </c>
      <c r="C493" s="1" t="s">
        <v>2631</v>
      </c>
      <c r="D493" s="1" t="s">
        <v>2254</v>
      </c>
      <c r="E493" s="1" t="s">
        <v>9646</v>
      </c>
      <c r="F493" s="1" t="s">
        <v>5907</v>
      </c>
      <c r="G493" t="s">
        <v>9647</v>
      </c>
      <c r="H493">
        <v>320149</v>
      </c>
      <c r="I493" s="1" t="s">
        <v>9648</v>
      </c>
      <c r="J493" s="44" t="s">
        <v>9648</v>
      </c>
      <c r="K493" s="44" t="s">
        <v>5083</v>
      </c>
      <c r="L493" s="1" t="s">
        <v>7165</v>
      </c>
      <c r="M493" s="1" t="s">
        <v>7712</v>
      </c>
      <c r="N493" s="1" t="s">
        <v>8065</v>
      </c>
    </row>
    <row r="494" spans="1:14">
      <c r="A494" s="1" t="s">
        <v>2852</v>
      </c>
      <c r="B494" s="1" t="s">
        <v>2853</v>
      </c>
      <c r="C494" s="1" t="s">
        <v>2853</v>
      </c>
      <c r="D494" s="1" t="s">
        <v>2259</v>
      </c>
      <c r="E494" s="1" t="s">
        <v>9649</v>
      </c>
      <c r="F494" s="1" t="s">
        <v>5718</v>
      </c>
      <c r="G494" t="s">
        <v>9650</v>
      </c>
      <c r="H494">
        <v>318318</v>
      </c>
      <c r="I494" s="1" t="s">
        <v>9651</v>
      </c>
      <c r="J494" s="44" t="s">
        <v>9652</v>
      </c>
      <c r="K494" s="44" t="s">
        <v>5001</v>
      </c>
      <c r="L494" s="1" t="s">
        <v>5111</v>
      </c>
      <c r="M494" s="1" t="s">
        <v>9653</v>
      </c>
      <c r="N494" s="1" t="s">
        <v>8186</v>
      </c>
    </row>
    <row r="495" spans="1:14">
      <c r="A495" s="1" t="s">
        <v>1776</v>
      </c>
      <c r="B495" s="1" t="s">
        <v>1777</v>
      </c>
      <c r="C495" s="1" t="s">
        <v>1778</v>
      </c>
      <c r="D495" s="1" t="s">
        <v>2264</v>
      </c>
      <c r="E495" s="1" t="s">
        <v>9654</v>
      </c>
      <c r="F495" s="1" t="s">
        <v>6550</v>
      </c>
      <c r="G495" t="s">
        <v>9655</v>
      </c>
      <c r="H495">
        <v>307400</v>
      </c>
      <c r="I495" s="1" t="s">
        <v>7620</v>
      </c>
      <c r="J495" s="44" t="s">
        <v>7620</v>
      </c>
      <c r="K495" s="44" t="s">
        <v>5062</v>
      </c>
      <c r="L495" s="1" t="s">
        <v>7887</v>
      </c>
      <c r="M495" s="1" t="s">
        <v>7850</v>
      </c>
      <c r="N495" s="1" t="s">
        <v>8396</v>
      </c>
    </row>
    <row r="496" spans="1:14">
      <c r="A496" s="1" t="s">
        <v>2578</v>
      </c>
      <c r="B496" s="1" t="s">
        <v>2579</v>
      </c>
      <c r="C496" s="1" t="s">
        <v>2580</v>
      </c>
      <c r="D496" s="1" t="s">
        <v>2269</v>
      </c>
      <c r="E496" s="1" t="s">
        <v>9656</v>
      </c>
      <c r="F496" s="1" t="s">
        <v>7709</v>
      </c>
      <c r="G496" t="s">
        <v>9657</v>
      </c>
      <c r="H496">
        <v>305390</v>
      </c>
      <c r="I496" s="1" t="s">
        <v>2582</v>
      </c>
      <c r="J496" s="44" t="s">
        <v>2582</v>
      </c>
      <c r="K496" s="44" t="s">
        <v>7290</v>
      </c>
      <c r="L496" s="1" t="s">
        <v>7288</v>
      </c>
      <c r="M496" s="1" t="s">
        <v>5589</v>
      </c>
      <c r="N496" s="1" t="s">
        <v>8074</v>
      </c>
    </row>
    <row r="497" spans="1:14">
      <c r="A497" s="1" t="s">
        <v>1948</v>
      </c>
      <c r="B497" s="1" t="s">
        <v>1949</v>
      </c>
      <c r="C497" s="1" t="s">
        <v>1949</v>
      </c>
      <c r="D497" s="1" t="s">
        <v>2273</v>
      </c>
      <c r="E497" s="1" t="s">
        <v>7990</v>
      </c>
      <c r="F497" s="1" t="s">
        <v>5017</v>
      </c>
      <c r="G497" t="s">
        <v>9658</v>
      </c>
      <c r="H497">
        <v>295391</v>
      </c>
      <c r="I497" s="1" t="s">
        <v>9659</v>
      </c>
      <c r="J497" s="44" t="s">
        <v>9660</v>
      </c>
      <c r="K497" s="44" t="s">
        <v>7750</v>
      </c>
      <c r="L497" s="1" t="s">
        <v>9661</v>
      </c>
      <c r="M497" s="1" t="s">
        <v>7215</v>
      </c>
      <c r="N497" s="1" t="s">
        <v>8112</v>
      </c>
    </row>
    <row r="498" spans="1:14">
      <c r="A498" s="1" t="s">
        <v>3320</v>
      </c>
      <c r="B498" s="1" t="s">
        <v>3321</v>
      </c>
      <c r="C498" s="1" t="s">
        <v>3322</v>
      </c>
      <c r="D498" s="1" t="s">
        <v>2277</v>
      </c>
      <c r="E498" s="1" t="s">
        <v>9662</v>
      </c>
      <c r="F498" s="1" t="s">
        <v>7770</v>
      </c>
      <c r="G498" t="s">
        <v>9663</v>
      </c>
      <c r="H498">
        <v>285264</v>
      </c>
      <c r="I498" s="1" t="s">
        <v>9664</v>
      </c>
      <c r="J498" s="44" t="s">
        <v>9664</v>
      </c>
      <c r="K498" s="44" t="s">
        <v>7255</v>
      </c>
      <c r="L498" s="1" t="s">
        <v>7476</v>
      </c>
      <c r="M498" s="1" t="s">
        <v>9665</v>
      </c>
      <c r="N498" s="1" t="s">
        <v>8396</v>
      </c>
    </row>
    <row r="499" spans="1:14">
      <c r="A499" s="1" t="s">
        <v>2052</v>
      </c>
      <c r="B499" s="1" t="s">
        <v>2053</v>
      </c>
      <c r="C499" s="1" t="s">
        <v>2054</v>
      </c>
      <c r="D499" s="1" t="s">
        <v>2281</v>
      </c>
      <c r="E499" s="1" t="s">
        <v>9666</v>
      </c>
      <c r="F499" s="1" t="s">
        <v>5642</v>
      </c>
      <c r="G499" t="s">
        <v>9667</v>
      </c>
      <c r="H499">
        <v>272745</v>
      </c>
      <c r="I499" s="1" t="s">
        <v>2056</v>
      </c>
      <c r="J499" s="44" t="s">
        <v>2056</v>
      </c>
      <c r="K499" s="44" t="s">
        <v>5067</v>
      </c>
      <c r="L499" s="1" t="s">
        <v>7166</v>
      </c>
      <c r="M499" s="1" t="s">
        <v>9668</v>
      </c>
      <c r="N499" s="1" t="s">
        <v>8107</v>
      </c>
    </row>
    <row r="500" spans="1:14">
      <c r="A500" s="1" t="s">
        <v>2546</v>
      </c>
      <c r="B500" s="1" t="s">
        <v>2547</v>
      </c>
      <c r="C500" s="1" t="s">
        <v>2548</v>
      </c>
      <c r="D500" s="1" t="s">
        <v>2282</v>
      </c>
      <c r="E500" s="1" t="s">
        <v>9669</v>
      </c>
      <c r="F500" s="1" t="s">
        <v>7032</v>
      </c>
      <c r="G500" t="s">
        <v>9670</v>
      </c>
      <c r="H500">
        <v>246182</v>
      </c>
      <c r="I500" s="1" t="s">
        <v>2550</v>
      </c>
      <c r="J500" s="44" t="s">
        <v>2550</v>
      </c>
      <c r="K500" s="44" t="s">
        <v>6997</v>
      </c>
      <c r="L500" s="1" t="s">
        <v>7801</v>
      </c>
      <c r="M500" s="1" t="s">
        <v>6646</v>
      </c>
      <c r="N500" s="1" t="s">
        <v>8070</v>
      </c>
    </row>
    <row r="501" spans="1:14">
      <c r="A501" s="1" t="s">
        <v>2657</v>
      </c>
      <c r="B501" s="1" t="s">
        <v>2658</v>
      </c>
      <c r="C501" s="1" t="s">
        <v>2659</v>
      </c>
      <c r="D501" s="1" t="s">
        <v>2286</v>
      </c>
      <c r="E501" s="1" t="s">
        <v>9671</v>
      </c>
      <c r="F501" s="1" t="s">
        <v>6683</v>
      </c>
      <c r="G501" t="s">
        <v>9672</v>
      </c>
      <c r="H501">
        <v>242226</v>
      </c>
      <c r="I501" s="1" t="s">
        <v>2661</v>
      </c>
      <c r="J501" s="44" t="s">
        <v>2661</v>
      </c>
      <c r="K501" s="44" t="s">
        <v>5001</v>
      </c>
      <c r="L501" s="1" t="s">
        <v>9673</v>
      </c>
      <c r="M501" s="1" t="s">
        <v>9674</v>
      </c>
      <c r="N501" s="1" t="s">
        <v>8112</v>
      </c>
    </row>
    <row r="502" spans="1:14">
      <c r="A502" s="1" t="s">
        <v>2638</v>
      </c>
      <c r="B502" s="1" t="s">
        <v>2639</v>
      </c>
      <c r="C502" s="1" t="s">
        <v>2640</v>
      </c>
      <c r="D502" s="1" t="s">
        <v>2291</v>
      </c>
      <c r="E502" s="1" t="s">
        <v>9675</v>
      </c>
      <c r="F502" s="1" t="s">
        <v>7143</v>
      </c>
      <c r="G502" t="s">
        <v>9676</v>
      </c>
      <c r="H502">
        <v>237401</v>
      </c>
      <c r="I502" s="1" t="s">
        <v>6911</v>
      </c>
      <c r="J502" s="44" t="s">
        <v>6911</v>
      </c>
      <c r="K502" s="44" t="s">
        <v>5756</v>
      </c>
      <c r="L502" s="1" t="s">
        <v>5992</v>
      </c>
      <c r="M502" s="1" t="s">
        <v>7958</v>
      </c>
      <c r="N502" s="1" t="s">
        <v>8190</v>
      </c>
    </row>
    <row r="503" spans="1:14">
      <c r="A503" s="1" t="s">
        <v>2072</v>
      </c>
      <c r="B503" s="1" t="s">
        <v>2073</v>
      </c>
      <c r="C503" s="1" t="s">
        <v>2074</v>
      </c>
      <c r="D503" s="1" t="s">
        <v>2295</v>
      </c>
      <c r="E503" s="1" t="s">
        <v>9677</v>
      </c>
      <c r="F503" s="1" t="s">
        <v>9678</v>
      </c>
      <c r="G503" t="s">
        <v>7534</v>
      </c>
      <c r="H503">
        <v>230797</v>
      </c>
      <c r="I503" s="1" t="s">
        <v>6551</v>
      </c>
      <c r="J503" s="44" t="s">
        <v>6551</v>
      </c>
      <c r="K503" s="44" t="s">
        <v>5095</v>
      </c>
      <c r="L503" s="1" t="s">
        <v>5844</v>
      </c>
      <c r="M503" s="1" t="s">
        <v>6644</v>
      </c>
      <c r="N503" s="1" t="s">
        <v>8090</v>
      </c>
    </row>
    <row r="504" spans="1:14">
      <c r="A504" s="1" t="s">
        <v>2084</v>
      </c>
      <c r="B504" s="1" t="s">
        <v>2085</v>
      </c>
      <c r="C504" s="1" t="s">
        <v>2086</v>
      </c>
      <c r="D504" s="1" t="s">
        <v>2299</v>
      </c>
      <c r="E504" s="1" t="s">
        <v>9679</v>
      </c>
      <c r="F504" s="1" t="s">
        <v>6732</v>
      </c>
      <c r="G504" t="s">
        <v>9680</v>
      </c>
      <c r="H504">
        <v>227844</v>
      </c>
      <c r="I504" s="1" t="s">
        <v>9681</v>
      </c>
      <c r="J504" s="44" t="s">
        <v>9681</v>
      </c>
      <c r="K504" s="44" t="s">
        <v>5001</v>
      </c>
      <c r="L504" s="1" t="s">
        <v>9682</v>
      </c>
      <c r="M504" s="1" t="s">
        <v>9683</v>
      </c>
      <c r="N504" s="1" t="s">
        <v>8137</v>
      </c>
    </row>
    <row r="505" spans="1:14">
      <c r="A505" s="1" t="s">
        <v>2742</v>
      </c>
      <c r="B505" s="1" t="s">
        <v>2743</v>
      </c>
      <c r="C505" s="1" t="s">
        <v>2744</v>
      </c>
      <c r="D505" s="1" t="s">
        <v>2303</v>
      </c>
      <c r="E505" s="1" t="s">
        <v>9684</v>
      </c>
      <c r="F505" s="1" t="s">
        <v>6733</v>
      </c>
      <c r="G505" t="s">
        <v>9685</v>
      </c>
      <c r="H505">
        <v>222379</v>
      </c>
      <c r="I505" s="1" t="s">
        <v>2746</v>
      </c>
      <c r="J505" s="44" t="s">
        <v>2746</v>
      </c>
      <c r="K505" s="44" t="s">
        <v>5062</v>
      </c>
      <c r="L505" s="1" t="s">
        <v>7335</v>
      </c>
      <c r="M505" s="1" t="s">
        <v>7595</v>
      </c>
      <c r="N505" s="1" t="s">
        <v>8190</v>
      </c>
    </row>
    <row r="506" spans="1:14">
      <c r="A506" s="1" t="s">
        <v>3308</v>
      </c>
      <c r="B506" s="1" t="s">
        <v>3309</v>
      </c>
      <c r="C506" s="1" t="s">
        <v>3310</v>
      </c>
      <c r="D506" s="1" t="s">
        <v>2307</v>
      </c>
      <c r="E506" s="1" t="s">
        <v>9686</v>
      </c>
      <c r="F506" s="1" t="s">
        <v>7622</v>
      </c>
      <c r="G506" t="s">
        <v>9687</v>
      </c>
      <c r="H506">
        <v>209732</v>
      </c>
      <c r="I506" s="1" t="s">
        <v>5558</v>
      </c>
      <c r="J506" s="44" t="s">
        <v>5558</v>
      </c>
      <c r="K506" s="44" t="s">
        <v>7307</v>
      </c>
      <c r="L506" s="1" t="s">
        <v>7904</v>
      </c>
      <c r="M506" s="1" t="s">
        <v>6504</v>
      </c>
      <c r="N506" s="1" t="s">
        <v>8171</v>
      </c>
    </row>
    <row r="507" spans="1:14">
      <c r="A507" s="1" t="s">
        <v>5291</v>
      </c>
      <c r="B507" s="1" t="s">
        <v>5292</v>
      </c>
      <c r="C507" s="1" t="s">
        <v>5293</v>
      </c>
      <c r="D507" s="1" t="s">
        <v>2311</v>
      </c>
      <c r="E507" s="1" t="s">
        <v>9688</v>
      </c>
      <c r="F507" s="1" t="s">
        <v>7916</v>
      </c>
      <c r="G507" t="s">
        <v>9689</v>
      </c>
      <c r="H507">
        <v>203864</v>
      </c>
      <c r="I507" s="1" t="s">
        <v>9690</v>
      </c>
      <c r="J507" s="44" t="s">
        <v>9691</v>
      </c>
      <c r="K507" s="44" t="s">
        <v>7212</v>
      </c>
      <c r="L507" s="1" t="s">
        <v>6611</v>
      </c>
      <c r="M507" s="1" t="s">
        <v>9692</v>
      </c>
      <c r="N507" s="1" t="s">
        <v>8140</v>
      </c>
    </row>
    <row r="508" spans="1:14">
      <c r="A508" s="1" t="s">
        <v>6246</v>
      </c>
      <c r="B508" s="1" t="s">
        <v>6247</v>
      </c>
      <c r="C508" s="1" t="s">
        <v>6248</v>
      </c>
      <c r="D508" s="1" t="s">
        <v>2315</v>
      </c>
      <c r="E508" s="1" t="s">
        <v>9693</v>
      </c>
      <c r="F508" s="1" t="s">
        <v>9694</v>
      </c>
      <c r="G508" t="s">
        <v>9695</v>
      </c>
      <c r="H508">
        <v>202705</v>
      </c>
      <c r="I508" s="1" t="s">
        <v>9696</v>
      </c>
      <c r="J508" s="44" t="s">
        <v>9697</v>
      </c>
      <c r="K508" s="44" t="s">
        <v>9698</v>
      </c>
      <c r="L508" s="1"/>
      <c r="M508" s="1"/>
      <c r="N508" s="1" t="s">
        <v>8437</v>
      </c>
    </row>
    <row r="509" spans="1:14">
      <c r="A509" s="1" t="s">
        <v>2283</v>
      </c>
      <c r="B509" s="1" t="s">
        <v>2284</v>
      </c>
      <c r="C509" s="1" t="s">
        <v>2285</v>
      </c>
      <c r="D509" s="1" t="s">
        <v>2319</v>
      </c>
      <c r="E509" s="1" t="s">
        <v>9699</v>
      </c>
      <c r="F509" s="1" t="s">
        <v>6344</v>
      </c>
      <c r="G509" t="s">
        <v>9700</v>
      </c>
      <c r="H509">
        <v>195830</v>
      </c>
      <c r="I509" s="1" t="s">
        <v>2287</v>
      </c>
      <c r="J509" s="44" t="s">
        <v>2287</v>
      </c>
      <c r="K509" s="44" t="s">
        <v>6036</v>
      </c>
      <c r="L509" s="1" t="s">
        <v>7350</v>
      </c>
      <c r="M509" s="1" t="s">
        <v>9701</v>
      </c>
      <c r="N509" s="1" t="s">
        <v>8162</v>
      </c>
    </row>
    <row r="510" spans="1:14">
      <c r="A510" s="1" t="s">
        <v>2699</v>
      </c>
      <c r="B510" s="1" t="s">
        <v>2700</v>
      </c>
      <c r="C510" s="1" t="s">
        <v>2701</v>
      </c>
      <c r="D510" s="1" t="s">
        <v>2324</v>
      </c>
      <c r="E510" s="1" t="s">
        <v>9702</v>
      </c>
      <c r="F510" s="1" t="s">
        <v>1261</v>
      </c>
      <c r="G510" t="s">
        <v>9703</v>
      </c>
      <c r="H510">
        <v>186974</v>
      </c>
      <c r="I510" s="1" t="s">
        <v>6913</v>
      </c>
      <c r="J510" s="44" t="s">
        <v>6913</v>
      </c>
      <c r="K510" s="44" t="s">
        <v>5067</v>
      </c>
      <c r="L510" s="1" t="s">
        <v>5003</v>
      </c>
      <c r="M510" s="1" t="s">
        <v>9704</v>
      </c>
      <c r="N510" s="1" t="s">
        <v>8112</v>
      </c>
    </row>
    <row r="511" spans="1:14">
      <c r="A511" s="1" t="s">
        <v>2907</v>
      </c>
      <c r="B511" s="1" t="s">
        <v>1525</v>
      </c>
      <c r="C511" s="1" t="s">
        <v>2908</v>
      </c>
      <c r="D511" s="1" t="s">
        <v>2329</v>
      </c>
      <c r="E511" s="1" t="s">
        <v>9705</v>
      </c>
      <c r="F511" s="1" t="s">
        <v>1158</v>
      </c>
      <c r="G511" t="s">
        <v>9706</v>
      </c>
      <c r="H511">
        <v>178148</v>
      </c>
      <c r="I511" s="1" t="s">
        <v>2910</v>
      </c>
      <c r="J511" s="44" t="s">
        <v>2911</v>
      </c>
      <c r="K511" s="44" t="s">
        <v>7710</v>
      </c>
      <c r="L511" s="1" t="s">
        <v>9707</v>
      </c>
      <c r="M511" s="1" t="s">
        <v>9708</v>
      </c>
      <c r="N511" s="1" t="s">
        <v>8190</v>
      </c>
    </row>
    <row r="512" spans="1:14">
      <c r="A512" s="1" t="s">
        <v>3278</v>
      </c>
      <c r="B512" s="1" t="s">
        <v>3279</v>
      </c>
      <c r="C512" s="1" t="s">
        <v>3280</v>
      </c>
      <c r="D512" s="1" t="s">
        <v>2335</v>
      </c>
      <c r="E512" s="1" t="s">
        <v>9709</v>
      </c>
      <c r="F512" s="1" t="s">
        <v>5928</v>
      </c>
      <c r="G512" t="s">
        <v>9710</v>
      </c>
      <c r="H512">
        <v>173838</v>
      </c>
      <c r="I512" s="1" t="s">
        <v>9711</v>
      </c>
      <c r="J512" s="44" t="s">
        <v>9711</v>
      </c>
      <c r="K512" s="44" t="s">
        <v>5067</v>
      </c>
      <c r="L512" s="1" t="s">
        <v>7196</v>
      </c>
      <c r="M512" s="1" t="s">
        <v>6740</v>
      </c>
      <c r="N512" s="1" t="s">
        <v>8186</v>
      </c>
    </row>
    <row r="513" spans="1:14">
      <c r="A513" s="1" t="s">
        <v>2015</v>
      </c>
      <c r="B513" s="1" t="s">
        <v>2016</v>
      </c>
      <c r="C513" s="1" t="s">
        <v>2017</v>
      </c>
      <c r="D513" s="1" t="s">
        <v>2339</v>
      </c>
      <c r="E513" s="1" t="s">
        <v>9712</v>
      </c>
      <c r="F513" s="1" t="s">
        <v>5811</v>
      </c>
      <c r="G513" t="s">
        <v>9713</v>
      </c>
      <c r="H513">
        <v>171075</v>
      </c>
      <c r="I513" s="1" t="s">
        <v>7625</v>
      </c>
      <c r="J513" s="44" t="s">
        <v>7625</v>
      </c>
      <c r="K513" s="44" t="s">
        <v>6105</v>
      </c>
      <c r="L513" s="1" t="s">
        <v>6678</v>
      </c>
      <c r="M513" s="1" t="s">
        <v>6422</v>
      </c>
      <c r="N513" s="1" t="s">
        <v>8121</v>
      </c>
    </row>
    <row r="514" spans="1:14">
      <c r="A514" s="1" t="s">
        <v>2874</v>
      </c>
      <c r="B514" s="1" t="s">
        <v>2875</v>
      </c>
      <c r="C514" s="1" t="s">
        <v>2876</v>
      </c>
      <c r="D514" s="1" t="s">
        <v>2343</v>
      </c>
      <c r="E514" s="1" t="s">
        <v>9714</v>
      </c>
      <c r="F514" s="1" t="s">
        <v>5599</v>
      </c>
      <c r="G514" t="s">
        <v>9715</v>
      </c>
      <c r="H514">
        <v>148728</v>
      </c>
      <c r="I514" s="1" t="s">
        <v>9716</v>
      </c>
      <c r="J514" s="44" t="s">
        <v>9717</v>
      </c>
      <c r="K514" s="44" t="s">
        <v>7333</v>
      </c>
      <c r="L514" s="1" t="s">
        <v>6943</v>
      </c>
      <c r="M514" s="1" t="s">
        <v>5049</v>
      </c>
      <c r="N514" s="1" t="s">
        <v>8162</v>
      </c>
    </row>
    <row r="515" spans="1:14">
      <c r="A515" s="1" t="s">
        <v>3009</v>
      </c>
      <c r="B515" s="1" t="s">
        <v>3010</v>
      </c>
      <c r="C515" s="1" t="s">
        <v>3011</v>
      </c>
      <c r="D515" s="1" t="s">
        <v>2347</v>
      </c>
      <c r="E515" s="1" t="s">
        <v>9718</v>
      </c>
      <c r="F515" s="1" t="s">
        <v>7851</v>
      </c>
      <c r="G515" t="s">
        <v>9719</v>
      </c>
      <c r="H515">
        <v>144162</v>
      </c>
      <c r="I515" s="1" t="s">
        <v>5709</v>
      </c>
      <c r="J515" s="44" t="s">
        <v>5709</v>
      </c>
      <c r="K515" s="44" t="s">
        <v>9720</v>
      </c>
      <c r="L515" s="1" t="s">
        <v>8015</v>
      </c>
      <c r="M515" s="1" t="s">
        <v>9721</v>
      </c>
      <c r="N515" s="1" t="s">
        <v>8162</v>
      </c>
    </row>
    <row r="516" spans="1:14">
      <c r="A516" s="1" t="s">
        <v>2312</v>
      </c>
      <c r="B516" s="1" t="s">
        <v>2313</v>
      </c>
      <c r="C516" s="1" t="s">
        <v>2314</v>
      </c>
      <c r="D516" s="1" t="s">
        <v>2351</v>
      </c>
      <c r="E516" s="1" t="s">
        <v>9722</v>
      </c>
      <c r="F516" s="1" t="s">
        <v>6914</v>
      </c>
      <c r="G516" t="s">
        <v>9723</v>
      </c>
      <c r="H516">
        <v>141978</v>
      </c>
      <c r="I516" s="1" t="s">
        <v>9724</v>
      </c>
      <c r="J516" s="44" t="s">
        <v>9724</v>
      </c>
      <c r="K516" s="44" t="s">
        <v>5407</v>
      </c>
      <c r="L516" s="1" t="s">
        <v>6026</v>
      </c>
      <c r="M516" s="1" t="s">
        <v>6948</v>
      </c>
      <c r="N516" s="1" t="s">
        <v>8121</v>
      </c>
    </row>
    <row r="517" spans="1:14">
      <c r="A517" s="1" t="s">
        <v>2080</v>
      </c>
      <c r="B517" s="1" t="s">
        <v>2081</v>
      </c>
      <c r="C517" s="1" t="s">
        <v>2082</v>
      </c>
      <c r="D517" s="1" t="s">
        <v>2356</v>
      </c>
      <c r="E517" s="1" t="s">
        <v>9725</v>
      </c>
      <c r="F517" s="1" t="s">
        <v>6009</v>
      </c>
      <c r="G517" t="s">
        <v>9726</v>
      </c>
      <c r="H517">
        <v>136860</v>
      </c>
      <c r="I517" s="1" t="s">
        <v>9727</v>
      </c>
      <c r="J517" s="44" t="s">
        <v>9727</v>
      </c>
      <c r="K517" s="44" t="s">
        <v>7652</v>
      </c>
      <c r="L517" s="1" t="s">
        <v>6483</v>
      </c>
      <c r="M517" s="1" t="s">
        <v>7657</v>
      </c>
      <c r="N517" s="1" t="s">
        <v>8137</v>
      </c>
    </row>
    <row r="518" spans="1:14">
      <c r="A518" s="1" t="s">
        <v>2027</v>
      </c>
      <c r="B518" s="1" t="s">
        <v>2028</v>
      </c>
      <c r="C518" s="1" t="s">
        <v>2029</v>
      </c>
      <c r="D518" s="1" t="s">
        <v>2360</v>
      </c>
      <c r="E518" s="1" t="s">
        <v>9728</v>
      </c>
      <c r="F518" s="1" t="s">
        <v>5168</v>
      </c>
      <c r="G518" t="s">
        <v>9729</v>
      </c>
      <c r="H518">
        <v>136578</v>
      </c>
      <c r="I518" s="1" t="s">
        <v>2031</v>
      </c>
      <c r="J518" s="44" t="s">
        <v>2032</v>
      </c>
      <c r="K518" s="44" t="s">
        <v>7088</v>
      </c>
      <c r="L518" s="1" t="s">
        <v>9730</v>
      </c>
      <c r="M518" s="1" t="s">
        <v>6097</v>
      </c>
      <c r="N518" s="1" t="s">
        <v>8137</v>
      </c>
    </row>
    <row r="519" spans="1:14">
      <c r="A519" s="1" t="s">
        <v>2190</v>
      </c>
      <c r="B519" s="1" t="s">
        <v>2191</v>
      </c>
      <c r="C519" s="1" t="s">
        <v>2192</v>
      </c>
      <c r="D519" s="1" t="s">
        <v>2366</v>
      </c>
      <c r="E519" s="1" t="s">
        <v>9731</v>
      </c>
      <c r="F519" s="1" t="s">
        <v>5924</v>
      </c>
      <c r="G519" t="s">
        <v>9732</v>
      </c>
      <c r="H519">
        <v>135704</v>
      </c>
      <c r="I519" s="1" t="s">
        <v>7535</v>
      </c>
      <c r="J519" s="44" t="s">
        <v>7535</v>
      </c>
      <c r="K519" s="44" t="s">
        <v>5067</v>
      </c>
      <c r="L519" s="1" t="s">
        <v>7010</v>
      </c>
      <c r="M519" s="1" t="s">
        <v>6228</v>
      </c>
      <c r="N519" s="1" t="s">
        <v>8263</v>
      </c>
    </row>
    <row r="520" spans="1:14">
      <c r="A520" s="1" t="s">
        <v>2647</v>
      </c>
      <c r="B520" s="1" t="s">
        <v>2648</v>
      </c>
      <c r="C520" s="1" t="s">
        <v>2649</v>
      </c>
      <c r="D520" s="1" t="s">
        <v>2367</v>
      </c>
      <c r="E520" s="1" t="s">
        <v>9733</v>
      </c>
      <c r="F520" s="1" t="s">
        <v>1709</v>
      </c>
      <c r="G520" t="s">
        <v>9734</v>
      </c>
      <c r="H520">
        <v>133686</v>
      </c>
      <c r="I520" s="1" t="s">
        <v>5296</v>
      </c>
      <c r="J520" s="44" t="s">
        <v>2651</v>
      </c>
      <c r="K520" s="44" t="s">
        <v>5840</v>
      </c>
      <c r="L520" s="1" t="s">
        <v>7133</v>
      </c>
      <c r="M520" s="1" t="s">
        <v>6594</v>
      </c>
      <c r="N520" s="1" t="s">
        <v>8112</v>
      </c>
    </row>
    <row r="521" spans="1:14">
      <c r="A521" s="1" t="s">
        <v>3365</v>
      </c>
      <c r="B521" s="1" t="s">
        <v>3366</v>
      </c>
      <c r="C521" s="1" t="s">
        <v>3367</v>
      </c>
      <c r="D521" s="1" t="s">
        <v>2370</v>
      </c>
      <c r="E521" s="1" t="s">
        <v>9735</v>
      </c>
      <c r="F521" s="1" t="s">
        <v>7852</v>
      </c>
      <c r="G521" t="s">
        <v>9736</v>
      </c>
      <c r="H521">
        <v>126237</v>
      </c>
      <c r="I521" s="1" t="s">
        <v>9737</v>
      </c>
      <c r="J521" s="44" t="s">
        <v>9738</v>
      </c>
      <c r="K521" s="44" t="s">
        <v>7730</v>
      </c>
      <c r="L521" s="1" t="s">
        <v>9739</v>
      </c>
      <c r="M521" s="1" t="s">
        <v>9740</v>
      </c>
      <c r="N521" s="1" t="s">
        <v>8102</v>
      </c>
    </row>
    <row r="522" spans="1:14">
      <c r="A522" s="1" t="s">
        <v>2247</v>
      </c>
      <c r="B522" s="1" t="s">
        <v>2248</v>
      </c>
      <c r="C522" s="1" t="s">
        <v>2249</v>
      </c>
      <c r="D522" s="1" t="s">
        <v>2374</v>
      </c>
      <c r="E522" s="1" t="s">
        <v>9741</v>
      </c>
      <c r="F522" s="1" t="s">
        <v>6734</v>
      </c>
      <c r="G522" t="s">
        <v>9742</v>
      </c>
      <c r="H522">
        <v>125170</v>
      </c>
      <c r="I522" s="1" t="s">
        <v>7626</v>
      </c>
      <c r="J522" s="44" t="s">
        <v>9743</v>
      </c>
      <c r="K522" s="44" t="s">
        <v>5884</v>
      </c>
      <c r="L522" s="1" t="s">
        <v>7749</v>
      </c>
      <c r="M522" s="1" t="s">
        <v>6955</v>
      </c>
      <c r="N522" s="1" t="s">
        <v>8186</v>
      </c>
    </row>
    <row r="523" spans="1:14">
      <c r="A523" s="1" t="s">
        <v>3176</v>
      </c>
      <c r="B523" s="1" t="s">
        <v>3177</v>
      </c>
      <c r="C523" s="1" t="s">
        <v>3178</v>
      </c>
      <c r="D523" s="1" t="s">
        <v>2379</v>
      </c>
      <c r="E523" s="1" t="s">
        <v>9744</v>
      </c>
      <c r="F523" s="1" t="s">
        <v>7711</v>
      </c>
      <c r="G523" t="s">
        <v>9745</v>
      </c>
      <c r="H523">
        <v>115883</v>
      </c>
      <c r="I523" s="1" t="s">
        <v>6915</v>
      </c>
      <c r="J523" s="44" t="s">
        <v>6916</v>
      </c>
      <c r="K523" s="44" t="s">
        <v>9746</v>
      </c>
      <c r="L523" s="1" t="s">
        <v>8021</v>
      </c>
      <c r="M523" s="1" t="s">
        <v>9747</v>
      </c>
      <c r="N523" s="1" t="s">
        <v>8152</v>
      </c>
    </row>
    <row r="524" spans="1:14">
      <c r="A524" s="1" t="s">
        <v>2120</v>
      </c>
      <c r="B524" s="1" t="s">
        <v>2121</v>
      </c>
      <c r="C524" s="1" t="s">
        <v>2122</v>
      </c>
      <c r="D524" s="1" t="s">
        <v>2383</v>
      </c>
      <c r="E524" s="1" t="s">
        <v>9748</v>
      </c>
      <c r="F524" s="1" t="s">
        <v>6263</v>
      </c>
      <c r="G524" t="s">
        <v>9749</v>
      </c>
      <c r="H524">
        <v>114249</v>
      </c>
      <c r="I524" s="1" t="s">
        <v>2124</v>
      </c>
      <c r="J524" s="44" t="s">
        <v>2124</v>
      </c>
      <c r="K524" s="44" t="s">
        <v>5001</v>
      </c>
      <c r="L524" s="1" t="s">
        <v>7386</v>
      </c>
      <c r="M524" s="1" t="s">
        <v>6088</v>
      </c>
      <c r="N524" s="1" t="s">
        <v>8152</v>
      </c>
    </row>
    <row r="525" spans="1:14">
      <c r="A525" s="1" t="s">
        <v>3142</v>
      </c>
      <c r="B525" s="1" t="s">
        <v>3143</v>
      </c>
      <c r="C525" s="1" t="s">
        <v>3144</v>
      </c>
      <c r="D525" s="1" t="s">
        <v>2387</v>
      </c>
      <c r="E525" s="1" t="s">
        <v>9750</v>
      </c>
      <c r="F525" s="1" t="s">
        <v>1372</v>
      </c>
      <c r="G525" t="s">
        <v>9751</v>
      </c>
      <c r="H525">
        <v>113507</v>
      </c>
      <c r="I525" s="1" t="s">
        <v>3146</v>
      </c>
      <c r="J525" s="44" t="s">
        <v>3146</v>
      </c>
      <c r="K525" s="44" t="s">
        <v>5050</v>
      </c>
      <c r="L525" s="1" t="s">
        <v>7191</v>
      </c>
      <c r="M525" s="1" t="s">
        <v>9752</v>
      </c>
      <c r="N525" s="1" t="s">
        <v>8080</v>
      </c>
    </row>
    <row r="526" spans="1:14">
      <c r="A526" s="1" t="s">
        <v>2101</v>
      </c>
      <c r="B526" s="1" t="s">
        <v>2102</v>
      </c>
      <c r="C526" s="1" t="s">
        <v>2103</v>
      </c>
      <c r="D526" s="1" t="s">
        <v>2388</v>
      </c>
      <c r="E526" s="1" t="s">
        <v>9753</v>
      </c>
      <c r="F526" s="1" t="s">
        <v>2129</v>
      </c>
      <c r="G526" t="s">
        <v>9754</v>
      </c>
      <c r="H526">
        <v>113487</v>
      </c>
      <c r="I526" s="1" t="s">
        <v>2105</v>
      </c>
      <c r="J526" s="44" t="s">
        <v>921</v>
      </c>
      <c r="K526" s="44" t="s">
        <v>9755</v>
      </c>
      <c r="L526" s="1" t="s">
        <v>6677</v>
      </c>
      <c r="M526" s="1" t="s">
        <v>7415</v>
      </c>
      <c r="N526" s="1" t="s">
        <v>8190</v>
      </c>
    </row>
    <row r="527" spans="1:14">
      <c r="A527" s="1" t="s">
        <v>3534</v>
      </c>
      <c r="B527" s="1" t="s">
        <v>3535</v>
      </c>
      <c r="C527" s="1" t="s">
        <v>3536</v>
      </c>
      <c r="D527" s="1" t="s">
        <v>2389</v>
      </c>
      <c r="E527" s="1" t="s">
        <v>9756</v>
      </c>
      <c r="F527" s="1" t="s">
        <v>5513</v>
      </c>
      <c r="G527" t="s">
        <v>9757</v>
      </c>
      <c r="H527">
        <v>112759</v>
      </c>
      <c r="I527" s="1" t="s">
        <v>6917</v>
      </c>
      <c r="J527" s="44" t="s">
        <v>6918</v>
      </c>
      <c r="K527" s="44" t="s">
        <v>6259</v>
      </c>
      <c r="L527" s="1" t="s">
        <v>6872</v>
      </c>
      <c r="M527" s="1" t="s">
        <v>9758</v>
      </c>
      <c r="N527" s="1" t="s">
        <v>8133</v>
      </c>
    </row>
    <row r="528" spans="1:14">
      <c r="A528" s="1" t="s">
        <v>2975</v>
      </c>
      <c r="B528" s="1" t="s">
        <v>2976</v>
      </c>
      <c r="C528" s="1" t="s">
        <v>2977</v>
      </c>
      <c r="D528" s="1" t="s">
        <v>2390</v>
      </c>
      <c r="E528" s="1" t="s">
        <v>9759</v>
      </c>
      <c r="F528" s="1" t="s">
        <v>6735</v>
      </c>
      <c r="G528" t="s">
        <v>9760</v>
      </c>
      <c r="H528">
        <v>110229</v>
      </c>
      <c r="I528" s="1" t="s">
        <v>2979</v>
      </c>
      <c r="J528" s="44" t="s">
        <v>2979</v>
      </c>
      <c r="K528" s="44" t="s">
        <v>7008</v>
      </c>
      <c r="L528" s="1" t="s">
        <v>9761</v>
      </c>
      <c r="M528" s="1" t="s">
        <v>7435</v>
      </c>
      <c r="N528" s="1" t="s">
        <v>8186</v>
      </c>
    </row>
    <row r="529" spans="1:14">
      <c r="A529" s="1" t="s">
        <v>4959</v>
      </c>
      <c r="B529" s="1" t="s">
        <v>4960</v>
      </c>
      <c r="C529" s="1" t="s">
        <v>4961</v>
      </c>
      <c r="D529" s="1" t="s">
        <v>2394</v>
      </c>
      <c r="E529" s="1" t="s">
        <v>9762</v>
      </c>
      <c r="F529" s="1" t="s">
        <v>6264</v>
      </c>
      <c r="G529" t="s">
        <v>9763</v>
      </c>
      <c r="H529">
        <v>106303</v>
      </c>
      <c r="I529" s="1" t="s">
        <v>5295</v>
      </c>
      <c r="J529" s="44" t="s">
        <v>4126</v>
      </c>
      <c r="K529" s="44" t="s">
        <v>5067</v>
      </c>
      <c r="L529" s="1" t="s">
        <v>7320</v>
      </c>
      <c r="M529" s="1" t="s">
        <v>7992</v>
      </c>
      <c r="N529" s="1" t="s">
        <v>8213</v>
      </c>
    </row>
    <row r="530" spans="1:14">
      <c r="A530" s="1" t="s">
        <v>2134</v>
      </c>
      <c r="B530" s="1" t="s">
        <v>2135</v>
      </c>
      <c r="C530" s="1" t="s">
        <v>2136</v>
      </c>
      <c r="D530" s="1" t="s">
        <v>2398</v>
      </c>
      <c r="E530" s="1" t="s">
        <v>9764</v>
      </c>
      <c r="F530" s="1" t="s">
        <v>5596</v>
      </c>
      <c r="G530" t="s">
        <v>9765</v>
      </c>
      <c r="H530">
        <v>105774</v>
      </c>
      <c r="I530" s="1" t="s">
        <v>9766</v>
      </c>
      <c r="J530" s="44" t="s">
        <v>9766</v>
      </c>
      <c r="K530" s="44" t="s">
        <v>5121</v>
      </c>
      <c r="L530" s="1" t="s">
        <v>5496</v>
      </c>
      <c r="M530" s="1" t="s">
        <v>8020</v>
      </c>
      <c r="N530" s="1" t="s">
        <v>8137</v>
      </c>
    </row>
    <row r="531" spans="1:14">
      <c r="A531" s="1" t="s">
        <v>2148</v>
      </c>
      <c r="B531" s="1" t="s">
        <v>2149</v>
      </c>
      <c r="C531" s="1" t="s">
        <v>2150</v>
      </c>
      <c r="D531" s="1" t="s">
        <v>2402</v>
      </c>
      <c r="E531" s="1" t="s">
        <v>9767</v>
      </c>
      <c r="F531" s="1" t="s">
        <v>869</v>
      </c>
      <c r="G531" t="s">
        <v>9768</v>
      </c>
      <c r="H531">
        <v>99348</v>
      </c>
      <c r="I531" s="1" t="s">
        <v>9769</v>
      </c>
      <c r="J531" s="44" t="s">
        <v>9769</v>
      </c>
      <c r="K531" s="44" t="s">
        <v>5067</v>
      </c>
      <c r="L531" s="1" t="s">
        <v>6996</v>
      </c>
      <c r="M531" s="1" t="s">
        <v>7065</v>
      </c>
      <c r="N531" s="1" t="s">
        <v>8140</v>
      </c>
    </row>
    <row r="532" spans="1:14">
      <c r="A532" s="1" t="s">
        <v>4962</v>
      </c>
      <c r="B532" s="1" t="s">
        <v>4963</v>
      </c>
      <c r="C532" s="1" t="s">
        <v>4964</v>
      </c>
      <c r="D532" s="1" t="s">
        <v>2407</v>
      </c>
      <c r="E532" s="1" t="s">
        <v>9770</v>
      </c>
      <c r="F532" s="1" t="s">
        <v>6009</v>
      </c>
      <c r="G532" t="s">
        <v>9771</v>
      </c>
      <c r="H532">
        <v>97790</v>
      </c>
      <c r="I532" s="1" t="s">
        <v>9772</v>
      </c>
      <c r="J532" s="44" t="s">
        <v>9773</v>
      </c>
      <c r="K532" s="44" t="s">
        <v>5001</v>
      </c>
      <c r="L532" s="1" t="s">
        <v>7507</v>
      </c>
      <c r="M532" s="1" t="s">
        <v>9774</v>
      </c>
      <c r="N532" s="1" t="s">
        <v>8140</v>
      </c>
    </row>
    <row r="533" spans="1:14">
      <c r="A533" s="1" t="s">
        <v>3093</v>
      </c>
      <c r="B533" s="1" t="s">
        <v>3094</v>
      </c>
      <c r="C533" s="1" t="s">
        <v>3095</v>
      </c>
      <c r="D533" s="1" t="s">
        <v>2412</v>
      </c>
      <c r="E533" s="1" t="s">
        <v>9775</v>
      </c>
      <c r="F533" s="1" t="s">
        <v>5594</v>
      </c>
      <c r="G533" t="s">
        <v>9776</v>
      </c>
      <c r="H533">
        <v>97631</v>
      </c>
      <c r="I533" s="1" t="s">
        <v>3097</v>
      </c>
      <c r="J533" s="44" t="s">
        <v>3097</v>
      </c>
      <c r="K533" s="44" t="s">
        <v>9777</v>
      </c>
      <c r="L533" s="1" t="s">
        <v>6524</v>
      </c>
      <c r="M533" s="1" t="s">
        <v>7142</v>
      </c>
      <c r="N533" s="1" t="s">
        <v>8065</v>
      </c>
    </row>
    <row r="534" spans="1:14">
      <c r="A534" s="1" t="s">
        <v>2158</v>
      </c>
      <c r="B534" s="1" t="s">
        <v>2159</v>
      </c>
      <c r="C534" s="1" t="s">
        <v>2160</v>
      </c>
      <c r="D534" s="1" t="s">
        <v>2418</v>
      </c>
      <c r="E534" s="1" t="s">
        <v>9778</v>
      </c>
      <c r="F534" s="1" t="s">
        <v>9779</v>
      </c>
      <c r="G534" t="s">
        <v>7994</v>
      </c>
      <c r="H534">
        <v>94018</v>
      </c>
      <c r="I534" s="1" t="s">
        <v>5926</v>
      </c>
      <c r="J534" s="44" t="s">
        <v>5926</v>
      </c>
      <c r="K534" s="44" t="s">
        <v>5138</v>
      </c>
      <c r="L534" s="1" t="s">
        <v>5543</v>
      </c>
      <c r="M534" s="1" t="s">
        <v>6081</v>
      </c>
      <c r="N534" s="1" t="s">
        <v>8090</v>
      </c>
    </row>
    <row r="535" spans="1:14">
      <c r="A535" s="1" t="s">
        <v>2843</v>
      </c>
      <c r="B535" s="1" t="s">
        <v>2844</v>
      </c>
      <c r="C535" s="1" t="s">
        <v>2845</v>
      </c>
      <c r="D535" s="1" t="s">
        <v>2423</v>
      </c>
      <c r="E535" s="1" t="s">
        <v>9780</v>
      </c>
      <c r="F535" s="1" t="s">
        <v>5395</v>
      </c>
      <c r="G535" t="s">
        <v>9781</v>
      </c>
      <c r="H535">
        <v>92322</v>
      </c>
      <c r="I535" s="1" t="s">
        <v>5559</v>
      </c>
      <c r="J535" s="44" t="s">
        <v>5559</v>
      </c>
      <c r="K535" s="44" t="s">
        <v>5018</v>
      </c>
      <c r="L535" s="1" t="s">
        <v>5831</v>
      </c>
      <c r="M535" s="1" t="s">
        <v>7868</v>
      </c>
      <c r="N535" s="1" t="s">
        <v>8107</v>
      </c>
    </row>
    <row r="536" spans="1:14">
      <c r="A536" s="1" t="s">
        <v>3389</v>
      </c>
      <c r="B536" s="1" t="s">
        <v>3390</v>
      </c>
      <c r="C536" s="1" t="s">
        <v>3391</v>
      </c>
      <c r="D536" s="1" t="s">
        <v>2428</v>
      </c>
      <c r="E536" s="1" t="s">
        <v>9782</v>
      </c>
      <c r="F536" s="1" t="s">
        <v>4999</v>
      </c>
      <c r="G536" t="s">
        <v>9783</v>
      </c>
      <c r="H536">
        <v>88031</v>
      </c>
      <c r="I536" s="1" t="s">
        <v>3393</v>
      </c>
      <c r="J536" s="44" t="s">
        <v>3394</v>
      </c>
      <c r="K536" s="44" t="s">
        <v>7745</v>
      </c>
      <c r="L536" s="1" t="s">
        <v>7838</v>
      </c>
      <c r="M536" s="1" t="s">
        <v>5886</v>
      </c>
      <c r="N536" s="1" t="s">
        <v>8162</v>
      </c>
    </row>
    <row r="537" spans="1:14">
      <c r="A537" s="1" t="s">
        <v>3206</v>
      </c>
      <c r="B537" s="1" t="s">
        <v>3207</v>
      </c>
      <c r="C537" s="1" t="s">
        <v>3208</v>
      </c>
      <c r="D537" s="1" t="s">
        <v>2432</v>
      </c>
      <c r="E537" s="1" t="s">
        <v>9784</v>
      </c>
      <c r="F537" s="1" t="s">
        <v>6265</v>
      </c>
      <c r="G537" t="s">
        <v>9785</v>
      </c>
      <c r="H537">
        <v>84619</v>
      </c>
      <c r="I537" s="1" t="s">
        <v>5075</v>
      </c>
      <c r="J537" s="44" t="s">
        <v>5075</v>
      </c>
      <c r="K537" s="44" t="s">
        <v>5001</v>
      </c>
      <c r="L537" s="1" t="s">
        <v>9786</v>
      </c>
      <c r="M537" s="1" t="s">
        <v>9787</v>
      </c>
      <c r="N537" s="1" t="s">
        <v>8065</v>
      </c>
    </row>
    <row r="538" spans="1:14">
      <c r="A538" s="1" t="s">
        <v>3424</v>
      </c>
      <c r="B538" s="1" t="s">
        <v>3425</v>
      </c>
      <c r="C538" s="1" t="s">
        <v>3426</v>
      </c>
      <c r="D538" s="1" t="s">
        <v>2434</v>
      </c>
      <c r="E538" s="1" t="s">
        <v>9788</v>
      </c>
      <c r="F538" s="1" t="s">
        <v>3163</v>
      </c>
      <c r="G538" t="s">
        <v>9789</v>
      </c>
      <c r="H538">
        <v>81443</v>
      </c>
      <c r="I538" s="1" t="s">
        <v>9790</v>
      </c>
      <c r="J538" s="44" t="s">
        <v>9790</v>
      </c>
      <c r="K538" s="44" t="s">
        <v>6491</v>
      </c>
      <c r="L538" s="1" t="s">
        <v>7601</v>
      </c>
      <c r="M538" s="1" t="s">
        <v>7764</v>
      </c>
      <c r="N538" s="1" t="s">
        <v>8396</v>
      </c>
    </row>
    <row r="539" spans="1:14">
      <c r="A539" s="1" t="s">
        <v>1998</v>
      </c>
      <c r="B539" s="1" t="s">
        <v>1999</v>
      </c>
      <c r="C539" s="1" t="s">
        <v>2000</v>
      </c>
      <c r="D539" s="1" t="s">
        <v>2438</v>
      </c>
      <c r="E539" s="1" t="s">
        <v>7853</v>
      </c>
      <c r="F539" s="1" t="s">
        <v>4632</v>
      </c>
      <c r="G539" t="s">
        <v>9791</v>
      </c>
      <c r="H539">
        <v>81189</v>
      </c>
      <c r="I539" s="1" t="s">
        <v>54</v>
      </c>
      <c r="J539" s="44" t="s">
        <v>54</v>
      </c>
      <c r="K539" s="44" t="s">
        <v>5876</v>
      </c>
      <c r="L539" s="1" t="s">
        <v>7004</v>
      </c>
      <c r="M539" s="1" t="s">
        <v>6440</v>
      </c>
      <c r="N539" s="1" t="s">
        <v>8152</v>
      </c>
    </row>
    <row r="540" spans="1:14">
      <c r="A540" s="1" t="s">
        <v>3338</v>
      </c>
      <c r="B540" s="1" t="s">
        <v>3339</v>
      </c>
      <c r="C540" s="1" t="s">
        <v>3340</v>
      </c>
      <c r="D540" s="1" t="s">
        <v>2442</v>
      </c>
      <c r="E540" s="1" t="s">
        <v>9792</v>
      </c>
      <c r="F540" s="1" t="s">
        <v>5596</v>
      </c>
      <c r="G540" t="s">
        <v>9793</v>
      </c>
      <c r="H540">
        <v>80224</v>
      </c>
      <c r="I540" s="1" t="s">
        <v>9794</v>
      </c>
      <c r="J540" s="44" t="s">
        <v>9794</v>
      </c>
      <c r="K540" s="44" t="s">
        <v>5067</v>
      </c>
      <c r="L540" s="1" t="s">
        <v>7149</v>
      </c>
      <c r="M540" s="1" t="s">
        <v>9795</v>
      </c>
      <c r="N540" s="1" t="s">
        <v>8190</v>
      </c>
    </row>
    <row r="541" spans="1:14">
      <c r="A541" s="1" t="s">
        <v>2316</v>
      </c>
      <c r="B541" s="1" t="s">
        <v>2317</v>
      </c>
      <c r="C541" s="1" t="s">
        <v>2318</v>
      </c>
      <c r="D541" s="1" t="s">
        <v>2446</v>
      </c>
      <c r="E541" s="1" t="s">
        <v>9796</v>
      </c>
      <c r="F541" s="1" t="s">
        <v>6129</v>
      </c>
      <c r="G541" t="s">
        <v>9797</v>
      </c>
      <c r="H541">
        <v>73898</v>
      </c>
      <c r="I541" s="1" t="s">
        <v>7629</v>
      </c>
      <c r="J541" s="44" t="s">
        <v>7629</v>
      </c>
      <c r="K541" s="44" t="s">
        <v>5067</v>
      </c>
      <c r="L541" s="1" t="s">
        <v>9798</v>
      </c>
      <c r="M541" s="1" t="s">
        <v>6633</v>
      </c>
      <c r="N541" s="1" t="s">
        <v>8102</v>
      </c>
    </row>
    <row r="542" spans="1:14">
      <c r="A542" s="1" t="s">
        <v>2125</v>
      </c>
      <c r="B542" s="1" t="s">
        <v>2126</v>
      </c>
      <c r="C542" s="1" t="s">
        <v>2127</v>
      </c>
      <c r="D542" s="1" t="s">
        <v>2450</v>
      </c>
      <c r="E542" s="1" t="s">
        <v>9799</v>
      </c>
      <c r="F542" s="1" t="s">
        <v>1203</v>
      </c>
      <c r="G542" t="s">
        <v>9800</v>
      </c>
      <c r="H542">
        <v>72214</v>
      </c>
      <c r="I542" s="1" t="s">
        <v>6267</v>
      </c>
      <c r="J542" s="44" t="s">
        <v>6268</v>
      </c>
      <c r="K542" s="44" t="s">
        <v>7295</v>
      </c>
      <c r="L542" s="1" t="s">
        <v>7522</v>
      </c>
      <c r="M542" s="1" t="s">
        <v>7062</v>
      </c>
      <c r="N542" s="1" t="s">
        <v>8080</v>
      </c>
    </row>
    <row r="543" spans="1:14">
      <c r="A543" s="1" t="s">
        <v>2142</v>
      </c>
      <c r="B543" s="1" t="s">
        <v>2143</v>
      </c>
      <c r="C543" s="1" t="s">
        <v>2144</v>
      </c>
      <c r="D543" s="1" t="s">
        <v>2455</v>
      </c>
      <c r="E543" s="1" t="s">
        <v>9801</v>
      </c>
      <c r="F543" s="1" t="s">
        <v>5184</v>
      </c>
      <c r="G543" t="s">
        <v>9802</v>
      </c>
      <c r="H543">
        <v>62073</v>
      </c>
      <c r="I543" s="1" t="s">
        <v>2146</v>
      </c>
      <c r="J543" s="44" t="s">
        <v>2147</v>
      </c>
      <c r="K543" s="44" t="s">
        <v>5001</v>
      </c>
      <c r="L543" s="1" t="s">
        <v>7374</v>
      </c>
      <c r="M543" s="1" t="s">
        <v>9803</v>
      </c>
      <c r="N543" s="1" t="s">
        <v>8137</v>
      </c>
    </row>
    <row r="544" spans="1:14">
      <c r="A544" s="1" t="s">
        <v>2238</v>
      </c>
      <c r="B544" s="1" t="s">
        <v>2239</v>
      </c>
      <c r="C544" s="1" t="s">
        <v>2240</v>
      </c>
      <c r="D544" s="1" t="s">
        <v>2459</v>
      </c>
      <c r="E544" s="1" t="s">
        <v>9804</v>
      </c>
      <c r="F544" s="1" t="s">
        <v>5725</v>
      </c>
      <c r="G544" t="s">
        <v>9805</v>
      </c>
      <c r="H544">
        <v>61111</v>
      </c>
      <c r="I544" s="1" t="s">
        <v>2242</v>
      </c>
      <c r="J544" s="44" t="s">
        <v>921</v>
      </c>
      <c r="K544" s="44" t="s">
        <v>5001</v>
      </c>
      <c r="L544" s="1" t="s">
        <v>7155</v>
      </c>
      <c r="M544" s="1" t="s">
        <v>6602</v>
      </c>
      <c r="N544" s="1" t="s">
        <v>8070</v>
      </c>
    </row>
    <row r="545" spans="1:14">
      <c r="A545" s="1" t="s">
        <v>3543</v>
      </c>
      <c r="B545" s="1" t="s">
        <v>3544</v>
      </c>
      <c r="C545" s="1" t="s">
        <v>3545</v>
      </c>
      <c r="D545" s="1" t="s">
        <v>2464</v>
      </c>
      <c r="E545" s="1" t="s">
        <v>9806</v>
      </c>
      <c r="F545" s="1" t="s">
        <v>5546</v>
      </c>
      <c r="G545" t="s">
        <v>9807</v>
      </c>
      <c r="H545">
        <v>60099</v>
      </c>
      <c r="I545" s="1" t="s">
        <v>6919</v>
      </c>
      <c r="J545" s="44" t="s">
        <v>6920</v>
      </c>
      <c r="K545" s="44" t="s">
        <v>6990</v>
      </c>
      <c r="L545" s="1" t="s">
        <v>7391</v>
      </c>
      <c r="M545" s="1" t="s">
        <v>7381</v>
      </c>
      <c r="N545" s="1" t="s">
        <v>8102</v>
      </c>
    </row>
    <row r="546" spans="1:14">
      <c r="A546" s="1" t="s">
        <v>3243</v>
      </c>
      <c r="B546" s="1" t="s">
        <v>3244</v>
      </c>
      <c r="C546" s="1" t="s">
        <v>3245</v>
      </c>
      <c r="D546" s="1" t="s">
        <v>2469</v>
      </c>
      <c r="E546" s="1" t="s">
        <v>9808</v>
      </c>
      <c r="F546" s="1" t="s">
        <v>5597</v>
      </c>
      <c r="G546" t="s">
        <v>9809</v>
      </c>
      <c r="H546">
        <v>52931</v>
      </c>
      <c r="I546" s="1" t="s">
        <v>3247</v>
      </c>
      <c r="J546" s="44" t="s">
        <v>3247</v>
      </c>
      <c r="K546" s="44" t="s">
        <v>9810</v>
      </c>
      <c r="L546" s="1" t="s">
        <v>7187</v>
      </c>
      <c r="M546" s="1" t="s">
        <v>6542</v>
      </c>
      <c r="N546" s="1" t="s">
        <v>8173</v>
      </c>
    </row>
    <row r="547" spans="1:14">
      <c r="A547" s="1" t="s">
        <v>4942</v>
      </c>
      <c r="B547" s="1" t="s">
        <v>4943</v>
      </c>
      <c r="C547" s="1" t="s">
        <v>4944</v>
      </c>
      <c r="D547" s="1" t="s">
        <v>2473</v>
      </c>
      <c r="E547" s="1" t="s">
        <v>9811</v>
      </c>
      <c r="F547" s="1" t="s">
        <v>6272</v>
      </c>
      <c r="G547" t="s">
        <v>9812</v>
      </c>
      <c r="H547">
        <v>50718</v>
      </c>
      <c r="I547" s="1" t="s">
        <v>9813</v>
      </c>
      <c r="J547" s="44" t="s">
        <v>9813</v>
      </c>
      <c r="K547" s="44" t="s">
        <v>5067</v>
      </c>
      <c r="L547" s="1" t="s">
        <v>5111</v>
      </c>
      <c r="M547" s="1" t="s">
        <v>7659</v>
      </c>
      <c r="N547" s="1" t="s">
        <v>8107</v>
      </c>
    </row>
    <row r="548" spans="1:14">
      <c r="A548" s="1" t="s">
        <v>3111</v>
      </c>
      <c r="B548" s="1" t="s">
        <v>3112</v>
      </c>
      <c r="C548" s="1" t="s">
        <v>3113</v>
      </c>
      <c r="D548" s="1" t="s">
        <v>2477</v>
      </c>
      <c r="E548" s="1" t="s">
        <v>9814</v>
      </c>
      <c r="F548" s="1" t="s">
        <v>5507</v>
      </c>
      <c r="G548" t="s">
        <v>9815</v>
      </c>
      <c r="H548">
        <v>50601</v>
      </c>
      <c r="I548" s="1" t="s">
        <v>6271</v>
      </c>
      <c r="J548" s="44" t="s">
        <v>6271</v>
      </c>
      <c r="K548" s="44" t="s">
        <v>5538</v>
      </c>
      <c r="L548" s="1" t="s">
        <v>5818</v>
      </c>
      <c r="M548" s="1" t="s">
        <v>9816</v>
      </c>
      <c r="N548" s="1" t="s">
        <v>8121</v>
      </c>
    </row>
    <row r="549" spans="1:14">
      <c r="A549" s="1" t="s">
        <v>3652</v>
      </c>
      <c r="B549" s="1" t="s">
        <v>3653</v>
      </c>
      <c r="C549" s="1" t="s">
        <v>3654</v>
      </c>
      <c r="D549" s="1" t="s">
        <v>2482</v>
      </c>
      <c r="E549" s="1" t="s">
        <v>9817</v>
      </c>
      <c r="F549" s="1" t="s">
        <v>754</v>
      </c>
      <c r="G549" t="s">
        <v>9818</v>
      </c>
      <c r="H549">
        <v>44717</v>
      </c>
      <c r="I549" s="1" t="s">
        <v>3655</v>
      </c>
      <c r="J549" s="44" t="s">
        <v>3655</v>
      </c>
      <c r="K549" s="44" t="s">
        <v>5067</v>
      </c>
      <c r="L549" s="1" t="s">
        <v>9819</v>
      </c>
      <c r="M549" s="1" t="s">
        <v>7999</v>
      </c>
      <c r="N549" s="1" t="s">
        <v>8098</v>
      </c>
    </row>
    <row r="550" spans="1:14">
      <c r="A550" s="1" t="s">
        <v>2138</v>
      </c>
      <c r="B550" s="1" t="s">
        <v>2139</v>
      </c>
      <c r="C550" s="1" t="s">
        <v>2140</v>
      </c>
      <c r="D550" s="1" t="s">
        <v>2486</v>
      </c>
      <c r="E550" s="1" t="s">
        <v>9820</v>
      </c>
      <c r="F550" s="1" t="s">
        <v>1917</v>
      </c>
      <c r="G550" t="s">
        <v>9821</v>
      </c>
      <c r="H550">
        <v>44145</v>
      </c>
      <c r="I550" s="1" t="s">
        <v>9822</v>
      </c>
      <c r="J550" s="44" t="s">
        <v>9823</v>
      </c>
      <c r="K550" s="44" t="s">
        <v>7204</v>
      </c>
      <c r="L550" s="1" t="s">
        <v>7531</v>
      </c>
      <c r="M550" s="1" t="s">
        <v>7615</v>
      </c>
      <c r="N550" s="1" t="s">
        <v>8098</v>
      </c>
    </row>
    <row r="551" spans="1:14">
      <c r="A551" s="1" t="s">
        <v>3433</v>
      </c>
      <c r="B551" s="1" t="s">
        <v>3434</v>
      </c>
      <c r="C551" s="1" t="s">
        <v>3435</v>
      </c>
      <c r="D551" s="1" t="s">
        <v>2491</v>
      </c>
      <c r="E551" s="1" t="s">
        <v>9824</v>
      </c>
      <c r="F551" s="1" t="s">
        <v>5591</v>
      </c>
      <c r="G551" t="s">
        <v>9825</v>
      </c>
      <c r="H551">
        <v>43805</v>
      </c>
      <c r="I551" s="1" t="s">
        <v>6557</v>
      </c>
      <c r="J551" s="44" t="s">
        <v>6557</v>
      </c>
      <c r="K551" s="44" t="s">
        <v>5067</v>
      </c>
      <c r="L551" s="1" t="s">
        <v>7426</v>
      </c>
      <c r="M551" s="1" t="s">
        <v>5499</v>
      </c>
      <c r="N551" s="1" t="s">
        <v>8098</v>
      </c>
    </row>
    <row r="552" spans="1:14">
      <c r="A552" s="1" t="s">
        <v>3342</v>
      </c>
      <c r="B552" s="1" t="s">
        <v>3343</v>
      </c>
      <c r="C552" s="1" t="s">
        <v>3344</v>
      </c>
      <c r="D552" s="1" t="s">
        <v>2495</v>
      </c>
      <c r="E552" s="1" t="s">
        <v>9826</v>
      </c>
      <c r="F552" s="1" t="s">
        <v>6509</v>
      </c>
      <c r="G552" t="s">
        <v>9827</v>
      </c>
      <c r="H552">
        <v>42226</v>
      </c>
      <c r="I552" s="1" t="s">
        <v>6736</v>
      </c>
      <c r="J552" s="44" t="s">
        <v>6736</v>
      </c>
      <c r="K552" s="44" t="s">
        <v>5067</v>
      </c>
      <c r="L552" s="1" t="s">
        <v>6339</v>
      </c>
      <c r="M552" s="1" t="s">
        <v>7560</v>
      </c>
      <c r="N552" s="1" t="s">
        <v>8070</v>
      </c>
    </row>
    <row r="553" spans="1:14">
      <c r="A553" s="1" t="s">
        <v>4945</v>
      </c>
      <c r="B553" s="1" t="s">
        <v>4946</v>
      </c>
      <c r="C553" s="1" t="s">
        <v>4947</v>
      </c>
      <c r="D553" s="1" t="s">
        <v>2499</v>
      </c>
      <c r="E553" s="1" t="s">
        <v>9828</v>
      </c>
      <c r="F553" s="1" t="s">
        <v>5989</v>
      </c>
      <c r="G553" t="s">
        <v>9829</v>
      </c>
      <c r="H553">
        <v>40864</v>
      </c>
      <c r="I553" s="1" t="s">
        <v>6278</v>
      </c>
      <c r="J553" s="44" t="s">
        <v>6278</v>
      </c>
      <c r="K553" s="44" t="s">
        <v>6610</v>
      </c>
      <c r="L553" s="1" t="s">
        <v>9830</v>
      </c>
      <c r="M553" s="1" t="s">
        <v>7482</v>
      </c>
      <c r="N553" s="1" t="s">
        <v>8437</v>
      </c>
    </row>
    <row r="554" spans="1:14">
      <c r="A554" s="1" t="s">
        <v>3785</v>
      </c>
      <c r="B554" s="1" t="s">
        <v>3786</v>
      </c>
      <c r="C554" s="1" t="s">
        <v>3787</v>
      </c>
      <c r="D554" s="1" t="s">
        <v>2503</v>
      </c>
      <c r="E554" s="1" t="s">
        <v>9831</v>
      </c>
      <c r="F554" s="1" t="s">
        <v>1372</v>
      </c>
      <c r="G554" t="s">
        <v>9832</v>
      </c>
      <c r="H554">
        <v>40261</v>
      </c>
      <c r="I554" s="1" t="s">
        <v>3789</v>
      </c>
      <c r="J554" s="44" t="s">
        <v>3789</v>
      </c>
      <c r="K554" s="44" t="s">
        <v>6755</v>
      </c>
      <c r="L554" s="1" t="s">
        <v>7201</v>
      </c>
      <c r="M554" s="1" t="s">
        <v>9833</v>
      </c>
      <c r="N554" s="1" t="s">
        <v>8190</v>
      </c>
    </row>
    <row r="555" spans="1:14">
      <c r="A555" s="1" t="s">
        <v>3085</v>
      </c>
      <c r="B555" s="1" t="s">
        <v>3086</v>
      </c>
      <c r="C555" s="1" t="s">
        <v>3087</v>
      </c>
      <c r="D555" s="1" t="s">
        <v>2508</v>
      </c>
      <c r="E555" s="1" t="s">
        <v>9834</v>
      </c>
      <c r="F555" s="1" t="s">
        <v>7372</v>
      </c>
      <c r="G555" t="s">
        <v>9835</v>
      </c>
      <c r="H555">
        <v>40178</v>
      </c>
      <c r="I555" s="1" t="s">
        <v>9836</v>
      </c>
      <c r="J555" s="44" t="s">
        <v>9836</v>
      </c>
      <c r="K555" s="44" t="s">
        <v>7076</v>
      </c>
      <c r="L555" s="1" t="s">
        <v>6016</v>
      </c>
      <c r="M555" s="1" t="s">
        <v>7303</v>
      </c>
      <c r="N555" s="1" t="s">
        <v>8162</v>
      </c>
    </row>
    <row r="556" spans="1:14">
      <c r="A556" s="1" t="s">
        <v>2266</v>
      </c>
      <c r="B556" s="1" t="s">
        <v>2267</v>
      </c>
      <c r="C556" s="1" t="s">
        <v>2268</v>
      </c>
      <c r="D556" s="1" t="s">
        <v>2513</v>
      </c>
      <c r="E556" s="1" t="s">
        <v>9837</v>
      </c>
      <c r="F556" s="1" t="s">
        <v>6276</v>
      </c>
      <c r="G556" t="s">
        <v>9838</v>
      </c>
      <c r="H556">
        <v>38572</v>
      </c>
      <c r="I556" s="1" t="s">
        <v>6737</v>
      </c>
      <c r="J556" s="44" t="s">
        <v>6738</v>
      </c>
      <c r="K556" s="44" t="s">
        <v>5001</v>
      </c>
      <c r="L556" s="1" t="s">
        <v>5783</v>
      </c>
      <c r="M556" s="1" t="s">
        <v>6522</v>
      </c>
      <c r="N556" s="1" t="s">
        <v>8098</v>
      </c>
    </row>
    <row r="557" spans="1:14">
      <c r="A557" s="1" t="s">
        <v>2116</v>
      </c>
      <c r="B557" s="1" t="s">
        <v>2117</v>
      </c>
      <c r="C557" s="1" t="s">
        <v>2118</v>
      </c>
      <c r="D557" s="1" t="s">
        <v>2517</v>
      </c>
      <c r="E557" s="1" t="s">
        <v>9839</v>
      </c>
      <c r="F557" s="1" t="s">
        <v>3522</v>
      </c>
      <c r="G557" t="s">
        <v>9840</v>
      </c>
      <c r="H557">
        <v>38534</v>
      </c>
      <c r="I557" s="1" t="s">
        <v>9841</v>
      </c>
      <c r="J557" s="44" t="s">
        <v>9842</v>
      </c>
      <c r="K557" s="44" t="s">
        <v>5780</v>
      </c>
      <c r="L557" s="1" t="s">
        <v>7315</v>
      </c>
      <c r="M557" s="1" t="s">
        <v>7365</v>
      </c>
      <c r="N557" s="1" t="s">
        <v>8483</v>
      </c>
    </row>
    <row r="558" spans="1:14">
      <c r="A558" s="1" t="s">
        <v>3224</v>
      </c>
      <c r="B558" s="1" t="s">
        <v>3225</v>
      </c>
      <c r="C558" s="1" t="s">
        <v>3226</v>
      </c>
      <c r="D558" s="1" t="s">
        <v>2521</v>
      </c>
      <c r="E558" s="1" t="s">
        <v>9843</v>
      </c>
      <c r="F558" s="1" t="s">
        <v>7951</v>
      </c>
      <c r="G558" t="s">
        <v>9844</v>
      </c>
      <c r="H558">
        <v>38108</v>
      </c>
      <c r="I558" s="1" t="s">
        <v>3228</v>
      </c>
      <c r="J558" s="44" t="s">
        <v>3228</v>
      </c>
      <c r="K558" s="44" t="s">
        <v>5088</v>
      </c>
      <c r="L558" s="1" t="s">
        <v>7458</v>
      </c>
      <c r="M558" s="1" t="s">
        <v>7209</v>
      </c>
      <c r="N558" s="1" t="s">
        <v>8121</v>
      </c>
    </row>
    <row r="559" spans="1:14">
      <c r="A559" s="1" t="s">
        <v>2274</v>
      </c>
      <c r="B559" s="1" t="s">
        <v>2275</v>
      </c>
      <c r="C559" s="1" t="s">
        <v>2276</v>
      </c>
      <c r="D559" s="1" t="s">
        <v>2526</v>
      </c>
      <c r="E559" s="1" t="s">
        <v>9845</v>
      </c>
      <c r="F559" s="1" t="s">
        <v>754</v>
      </c>
      <c r="G559" t="s">
        <v>9846</v>
      </c>
      <c r="H559">
        <v>36669</v>
      </c>
      <c r="I559" s="1" t="s">
        <v>5080</v>
      </c>
      <c r="J559" s="44" t="s">
        <v>1103</v>
      </c>
      <c r="K559" s="44" t="s">
        <v>6510</v>
      </c>
      <c r="L559" s="1" t="s">
        <v>9847</v>
      </c>
      <c r="M559" s="1" t="s">
        <v>9848</v>
      </c>
      <c r="N559" s="1" t="s">
        <v>8133</v>
      </c>
    </row>
    <row r="560" spans="1:14">
      <c r="A560" s="1" t="s">
        <v>3467</v>
      </c>
      <c r="B560" s="1" t="s">
        <v>3468</v>
      </c>
      <c r="C560" s="1" t="s">
        <v>3469</v>
      </c>
      <c r="D560" s="1" t="s">
        <v>2530</v>
      </c>
      <c r="E560" s="1" t="s">
        <v>9849</v>
      </c>
      <c r="F560" s="1" t="s">
        <v>6279</v>
      </c>
      <c r="G560" t="s">
        <v>9850</v>
      </c>
      <c r="H560">
        <v>35450</v>
      </c>
      <c r="I560" s="1" t="s">
        <v>3471</v>
      </c>
      <c r="J560" s="44" t="s">
        <v>3471</v>
      </c>
      <c r="K560" s="44" t="s">
        <v>5067</v>
      </c>
      <c r="L560" s="1" t="s">
        <v>6133</v>
      </c>
      <c r="M560" s="1" t="s">
        <v>9851</v>
      </c>
      <c r="N560" s="1" t="s">
        <v>8098</v>
      </c>
    </row>
    <row r="561" spans="1:14">
      <c r="A561" s="1" t="s">
        <v>2256</v>
      </c>
      <c r="B561" s="1" t="s">
        <v>2257</v>
      </c>
      <c r="C561" s="1" t="s">
        <v>2258</v>
      </c>
      <c r="D561" s="1" t="s">
        <v>2535</v>
      </c>
      <c r="E561" s="1" t="s">
        <v>9852</v>
      </c>
      <c r="F561" s="1" t="s">
        <v>2236</v>
      </c>
      <c r="G561" t="s">
        <v>9853</v>
      </c>
      <c r="H561">
        <v>32606</v>
      </c>
      <c r="I561" s="1" t="s">
        <v>2260</v>
      </c>
      <c r="J561" s="44" t="s">
        <v>2261</v>
      </c>
      <c r="K561" s="44" t="s">
        <v>6677</v>
      </c>
      <c r="L561" s="1" t="s">
        <v>6561</v>
      </c>
      <c r="M561" s="1" t="s">
        <v>7682</v>
      </c>
      <c r="N561" s="1" t="s">
        <v>8263</v>
      </c>
    </row>
    <row r="562" spans="1:14">
      <c r="A562" s="1" t="s">
        <v>2308</v>
      </c>
      <c r="B562" s="1" t="s">
        <v>2309</v>
      </c>
      <c r="C562" s="1" t="s">
        <v>2310</v>
      </c>
      <c r="D562" s="1" t="s">
        <v>2540</v>
      </c>
      <c r="E562" s="1" t="s">
        <v>9854</v>
      </c>
      <c r="F562" s="1" t="s">
        <v>5935</v>
      </c>
      <c r="G562" t="s">
        <v>9855</v>
      </c>
      <c r="H562">
        <v>32596</v>
      </c>
      <c r="I562" s="1" t="s">
        <v>7632</v>
      </c>
      <c r="J562" s="44" t="s">
        <v>7633</v>
      </c>
      <c r="K562" s="44" t="s">
        <v>7051</v>
      </c>
      <c r="L562" s="1" t="s">
        <v>6574</v>
      </c>
      <c r="M562" s="1" t="s">
        <v>9856</v>
      </c>
      <c r="N562" s="1" t="s">
        <v>8080</v>
      </c>
    </row>
    <row r="563" spans="1:14">
      <c r="A563" s="1" t="s">
        <v>4153</v>
      </c>
      <c r="B563" s="1" t="s">
        <v>4154</v>
      </c>
      <c r="C563" s="1" t="s">
        <v>4155</v>
      </c>
      <c r="D563" s="1" t="s">
        <v>2545</v>
      </c>
      <c r="E563" s="1" t="s">
        <v>9857</v>
      </c>
      <c r="F563" s="1" t="s">
        <v>7162</v>
      </c>
      <c r="G563" t="s">
        <v>9858</v>
      </c>
      <c r="H563">
        <v>28176</v>
      </c>
      <c r="I563" s="1" t="s">
        <v>7635</v>
      </c>
      <c r="J563" s="44" t="s">
        <v>7635</v>
      </c>
      <c r="K563" s="44" t="s">
        <v>7663</v>
      </c>
      <c r="L563" s="1" t="s">
        <v>7260</v>
      </c>
      <c r="M563" s="1" t="s">
        <v>7369</v>
      </c>
      <c r="N563" s="1" t="s">
        <v>8140</v>
      </c>
    </row>
    <row r="564" spans="1:14">
      <c r="A564" s="1" t="s">
        <v>3683</v>
      </c>
      <c r="B564" s="1" t="s">
        <v>3684</v>
      </c>
      <c r="C564" s="1" t="s">
        <v>3685</v>
      </c>
      <c r="D564" s="1" t="s">
        <v>2549</v>
      </c>
      <c r="E564" s="1" t="s">
        <v>9859</v>
      </c>
      <c r="F564" s="1" t="s">
        <v>5414</v>
      </c>
      <c r="G564" t="s">
        <v>9860</v>
      </c>
      <c r="H564">
        <v>23141</v>
      </c>
      <c r="I564" s="1" t="s">
        <v>3687</v>
      </c>
      <c r="J564" s="44" t="s">
        <v>3687</v>
      </c>
      <c r="K564" s="44" t="s">
        <v>6671</v>
      </c>
      <c r="L564" s="1" t="s">
        <v>5523</v>
      </c>
      <c r="M564" s="1" t="s">
        <v>7268</v>
      </c>
      <c r="N564" s="1" t="s">
        <v>8263</v>
      </c>
    </row>
    <row r="565" spans="1:14">
      <c r="A565" s="1" t="s">
        <v>2300</v>
      </c>
      <c r="B565" s="1" t="s">
        <v>2301</v>
      </c>
      <c r="C565" s="1" t="s">
        <v>2302</v>
      </c>
      <c r="D565" s="1" t="s">
        <v>2551</v>
      </c>
      <c r="E565" s="1" t="s">
        <v>9861</v>
      </c>
      <c r="F565" s="1" t="s">
        <v>6631</v>
      </c>
      <c r="G565" t="s">
        <v>9862</v>
      </c>
      <c r="H565">
        <v>21923</v>
      </c>
      <c r="I565" s="1" t="s">
        <v>9863</v>
      </c>
      <c r="J565" s="44" t="s">
        <v>9864</v>
      </c>
      <c r="K565" s="44" t="s">
        <v>5065</v>
      </c>
      <c r="L565" s="1" t="s">
        <v>7077</v>
      </c>
      <c r="M565" s="1" t="s">
        <v>9865</v>
      </c>
      <c r="N565" s="1" t="s">
        <v>8171</v>
      </c>
    </row>
    <row r="566" spans="1:14">
      <c r="A566" s="1" t="s">
        <v>2288</v>
      </c>
      <c r="B566" s="1" t="s">
        <v>2289</v>
      </c>
      <c r="C566" s="1" t="s">
        <v>2290</v>
      </c>
      <c r="D566" s="1" t="s">
        <v>2555</v>
      </c>
      <c r="E566" s="1" t="s">
        <v>9866</v>
      </c>
      <c r="F566" s="1" t="s">
        <v>6739</v>
      </c>
      <c r="G566" t="s">
        <v>9867</v>
      </c>
      <c r="H566">
        <v>16666</v>
      </c>
      <c r="I566" s="1" t="s">
        <v>7636</v>
      </c>
      <c r="J566" s="44" t="s">
        <v>7637</v>
      </c>
      <c r="K566" s="44" t="s">
        <v>7199</v>
      </c>
      <c r="L566" s="1" t="s">
        <v>6492</v>
      </c>
      <c r="M566" s="1" t="s">
        <v>7624</v>
      </c>
      <c r="N566" s="1" t="s">
        <v>8213</v>
      </c>
    </row>
    <row r="567" spans="1:14">
      <c r="A567" s="1" t="s">
        <v>3665</v>
      </c>
      <c r="B567" s="1" t="s">
        <v>3666</v>
      </c>
      <c r="C567" s="1" t="s">
        <v>3667</v>
      </c>
      <c r="D567" s="1" t="s">
        <v>2560</v>
      </c>
      <c r="E567" s="1" t="s">
        <v>9868</v>
      </c>
      <c r="F567" s="1" t="s">
        <v>2478</v>
      </c>
      <c r="G567" t="s">
        <v>9869</v>
      </c>
      <c r="H567">
        <v>15772</v>
      </c>
      <c r="I567" s="1" t="s">
        <v>9870</v>
      </c>
      <c r="J567" s="44" t="s">
        <v>9870</v>
      </c>
      <c r="K567" s="44" t="s">
        <v>5067</v>
      </c>
      <c r="L567" s="1" t="s">
        <v>6049</v>
      </c>
      <c r="M567" s="1"/>
      <c r="N567" s="1" t="s">
        <v>8112</v>
      </c>
    </row>
    <row r="568" spans="1:14">
      <c r="A568" s="1" t="s">
        <v>4460</v>
      </c>
      <c r="B568" s="1" t="s">
        <v>4461</v>
      </c>
      <c r="C568" s="1" t="s">
        <v>4462</v>
      </c>
      <c r="D568" s="1" t="s">
        <v>2565</v>
      </c>
      <c r="E568" s="1" t="s">
        <v>9871</v>
      </c>
      <c r="F568" s="1" t="s">
        <v>6284</v>
      </c>
      <c r="G568" t="s">
        <v>9872</v>
      </c>
      <c r="H568">
        <v>14731</v>
      </c>
      <c r="I568" s="1" t="s">
        <v>5018</v>
      </c>
      <c r="J568" s="44" t="s">
        <v>5</v>
      </c>
      <c r="K568" s="44" t="s">
        <v>5001</v>
      </c>
      <c r="L568" s="1" t="s">
        <v>9873</v>
      </c>
      <c r="M568" s="1" t="s">
        <v>7998</v>
      </c>
      <c r="N568" s="1" t="s">
        <v>8186</v>
      </c>
    </row>
    <row r="569" spans="1:14">
      <c r="A569" s="1" t="s">
        <v>2326</v>
      </c>
      <c r="B569" s="1" t="s">
        <v>2327</v>
      </c>
      <c r="C569" s="1" t="s">
        <v>2328</v>
      </c>
      <c r="D569" s="1" t="s">
        <v>2567</v>
      </c>
      <c r="E569" s="1" t="s">
        <v>9874</v>
      </c>
      <c r="F569" s="1" t="s">
        <v>5513</v>
      </c>
      <c r="G569" t="s">
        <v>9875</v>
      </c>
      <c r="H569">
        <v>11993</v>
      </c>
      <c r="I569" s="1" t="s">
        <v>2330</v>
      </c>
      <c r="J569" s="44" t="s">
        <v>2331</v>
      </c>
      <c r="K569" s="44" t="s">
        <v>5688</v>
      </c>
      <c r="L569" s="1" t="s">
        <v>9876</v>
      </c>
      <c r="M569" s="1" t="s">
        <v>9877</v>
      </c>
      <c r="N569" s="1" t="s">
        <v>8080</v>
      </c>
    </row>
    <row r="570" spans="1:14">
      <c r="A570" s="1" t="s">
        <v>3816</v>
      </c>
      <c r="B570" s="1" t="s">
        <v>3817</v>
      </c>
      <c r="C570" s="1" t="s">
        <v>3818</v>
      </c>
      <c r="D570" s="1" t="s">
        <v>2571</v>
      </c>
      <c r="E570" s="1" t="s">
        <v>9878</v>
      </c>
      <c r="F570" s="1" t="s">
        <v>5099</v>
      </c>
      <c r="G570" t="s">
        <v>9879</v>
      </c>
      <c r="H570">
        <v>10873</v>
      </c>
      <c r="I570" s="1" t="s">
        <v>6282</v>
      </c>
      <c r="J570" s="44" t="s">
        <v>6283</v>
      </c>
      <c r="K570" s="44" t="s">
        <v>9880</v>
      </c>
      <c r="L570" s="1" t="s">
        <v>9881</v>
      </c>
      <c r="M570" s="1"/>
      <c r="N570" s="1" t="s">
        <v>8098</v>
      </c>
    </row>
    <row r="571" spans="1:14">
      <c r="A571" s="1" t="s">
        <v>2336</v>
      </c>
      <c r="B571" s="1" t="s">
        <v>2337</v>
      </c>
      <c r="C571" s="1" t="s">
        <v>2338</v>
      </c>
      <c r="D571" s="1" t="s">
        <v>2577</v>
      </c>
      <c r="E571" s="1" t="s">
        <v>9882</v>
      </c>
      <c r="F571" s="1" t="s">
        <v>6270</v>
      </c>
      <c r="G571" t="s">
        <v>9883</v>
      </c>
      <c r="H571">
        <v>7396</v>
      </c>
      <c r="I571" s="1" t="s">
        <v>6741</v>
      </c>
      <c r="J571" s="44" t="s">
        <v>6742</v>
      </c>
      <c r="K571" s="44" t="s">
        <v>5777</v>
      </c>
      <c r="L571" s="1" t="s">
        <v>9884</v>
      </c>
      <c r="M571" s="1" t="s">
        <v>9885</v>
      </c>
      <c r="N571" s="1" t="s">
        <v>8396</v>
      </c>
    </row>
    <row r="572" spans="1:14">
      <c r="A572" s="1" t="s">
        <v>2340</v>
      </c>
      <c r="B572" s="1" t="s">
        <v>2341</v>
      </c>
      <c r="C572" s="1" t="s">
        <v>2342</v>
      </c>
      <c r="D572" s="1" t="s">
        <v>2581</v>
      </c>
      <c r="E572" s="1" t="s">
        <v>9886</v>
      </c>
      <c r="F572" s="1" t="s">
        <v>5184</v>
      </c>
      <c r="G572" t="s">
        <v>9887</v>
      </c>
      <c r="H572">
        <v>1835</v>
      </c>
      <c r="I572" s="1" t="s">
        <v>5933</v>
      </c>
      <c r="J572" s="44" t="s">
        <v>5934</v>
      </c>
      <c r="K572" s="44" t="s">
        <v>7098</v>
      </c>
      <c r="L572" s="1" t="s">
        <v>7487</v>
      </c>
      <c r="M572" s="1" t="s">
        <v>5943</v>
      </c>
      <c r="N572" s="1" t="s">
        <v>8396</v>
      </c>
    </row>
    <row r="573" spans="1:14">
      <c r="A573" s="1" t="s">
        <v>2344</v>
      </c>
      <c r="B573" s="1" t="s">
        <v>2345</v>
      </c>
      <c r="C573" s="1" t="s">
        <v>2346</v>
      </c>
      <c r="D573" s="1" t="s">
        <v>2586</v>
      </c>
      <c r="E573" s="1" t="s">
        <v>9888</v>
      </c>
      <c r="F573" s="1" t="s">
        <v>5505</v>
      </c>
      <c r="G573" t="s">
        <v>9889</v>
      </c>
      <c r="H573">
        <v>1805</v>
      </c>
      <c r="I573" s="1" t="s">
        <v>9890</v>
      </c>
      <c r="J573" s="44" t="s">
        <v>9891</v>
      </c>
      <c r="K573" s="44" t="s">
        <v>5062</v>
      </c>
      <c r="L573" s="1" t="s">
        <v>9892</v>
      </c>
      <c r="M573" s="1" t="s">
        <v>6183</v>
      </c>
      <c r="N573" s="1" t="s">
        <v>8080</v>
      </c>
    </row>
    <row r="574" spans="1:14">
      <c r="A574" s="1" t="s">
        <v>2353</v>
      </c>
      <c r="B574" s="1" t="s">
        <v>2354</v>
      </c>
      <c r="C574" s="1" t="s">
        <v>2355</v>
      </c>
      <c r="D574" s="1" t="s">
        <v>2590</v>
      </c>
      <c r="E574" s="1" t="s">
        <v>9893</v>
      </c>
      <c r="F574" s="1" t="s">
        <v>7705</v>
      </c>
      <c r="G574" t="s">
        <v>9894</v>
      </c>
      <c r="H574">
        <v>1750</v>
      </c>
      <c r="I574" s="1" t="s">
        <v>5503</v>
      </c>
      <c r="J574" s="44" t="s">
        <v>5504</v>
      </c>
      <c r="K574" s="44" t="s">
        <v>6144</v>
      </c>
      <c r="L574" s="1" t="s">
        <v>7123</v>
      </c>
      <c r="M574" s="1" t="s">
        <v>9895</v>
      </c>
      <c r="N574" s="1" t="s">
        <v>8213</v>
      </c>
    </row>
    <row r="575" spans="1:14">
      <c r="A575" s="1" t="s">
        <v>3923</v>
      </c>
      <c r="B575" s="1" t="s">
        <v>3924</v>
      </c>
      <c r="C575" s="1" t="s">
        <v>3925</v>
      </c>
      <c r="D575" s="1" t="s">
        <v>2593</v>
      </c>
      <c r="E575" s="1" t="s">
        <v>9896</v>
      </c>
      <c r="F575" s="1" t="s">
        <v>5797</v>
      </c>
      <c r="G575" t="s">
        <v>9897</v>
      </c>
      <c r="H575">
        <v>1369</v>
      </c>
      <c r="I575" s="1" t="s">
        <v>3927</v>
      </c>
      <c r="J575" s="44" t="s">
        <v>3928</v>
      </c>
      <c r="K575" s="44" t="s">
        <v>7567</v>
      </c>
      <c r="L575" s="1" t="s">
        <v>6083</v>
      </c>
      <c r="M575" s="1" t="s">
        <v>5812</v>
      </c>
      <c r="N575" s="1" t="s">
        <v>8186</v>
      </c>
    </row>
    <row r="576" spans="1:14">
      <c r="A576" s="1" t="s">
        <v>2332</v>
      </c>
      <c r="B576" s="1" t="s">
        <v>2333</v>
      </c>
      <c r="C576" s="1" t="s">
        <v>2334</v>
      </c>
      <c r="D576" s="1" t="s">
        <v>2598</v>
      </c>
      <c r="E576" s="1" t="s">
        <v>9898</v>
      </c>
      <c r="F576" s="1" t="s">
        <v>9899</v>
      </c>
      <c r="G576" t="s">
        <v>9900</v>
      </c>
      <c r="H576">
        <v>1138</v>
      </c>
      <c r="I576" s="1" t="s">
        <v>9901</v>
      </c>
      <c r="J576" s="44" t="s">
        <v>9902</v>
      </c>
      <c r="K576" s="44" t="s">
        <v>5695</v>
      </c>
      <c r="L576" s="1" t="s">
        <v>9903</v>
      </c>
      <c r="M576" s="1" t="s">
        <v>9904</v>
      </c>
      <c r="N576" s="1" t="s">
        <v>8140</v>
      </c>
    </row>
    <row r="577" spans="1:14">
      <c r="A577" s="1" t="s">
        <v>599</v>
      </c>
      <c r="B577" s="1" t="s">
        <v>600</v>
      </c>
      <c r="C577" s="1" t="s">
        <v>601</v>
      </c>
      <c r="D577" s="1" t="s">
        <v>2602</v>
      </c>
      <c r="E577" s="1" t="s">
        <v>5697</v>
      </c>
      <c r="F577" s="1" t="s">
        <v>5698</v>
      </c>
      <c r="H577">
        <v>27249330</v>
      </c>
      <c r="I577" s="1" t="s">
        <v>603</v>
      </c>
      <c r="J577" s="44" t="s">
        <v>603</v>
      </c>
      <c r="K577" s="44"/>
      <c r="L577" s="1"/>
      <c r="M577" s="1" t="s">
        <v>9905</v>
      </c>
      <c r="N577" s="1" t="s">
        <v>5699</v>
      </c>
    </row>
    <row r="578" spans="1:14">
      <c r="A578" s="1" t="s">
        <v>2371</v>
      </c>
      <c r="B578" s="1" t="s">
        <v>2372</v>
      </c>
      <c r="C578" s="1" t="s">
        <v>2373</v>
      </c>
      <c r="D578" s="1" t="s">
        <v>2606</v>
      </c>
      <c r="E578" s="1" t="s">
        <v>6287</v>
      </c>
      <c r="F578" s="1" t="s">
        <v>6288</v>
      </c>
      <c r="H578">
        <v>9615845</v>
      </c>
      <c r="I578" s="1" t="s">
        <v>2375</v>
      </c>
      <c r="J578" s="44" t="s">
        <v>199</v>
      </c>
      <c r="K578" s="44"/>
      <c r="L578" s="1" t="s">
        <v>8001</v>
      </c>
      <c r="M578" s="1" t="s">
        <v>7486</v>
      </c>
      <c r="N578" s="1" t="s">
        <v>6289</v>
      </c>
    </row>
    <row r="579" spans="1:14">
      <c r="A579" s="1" t="s">
        <v>572</v>
      </c>
      <c r="B579" s="1" t="s">
        <v>573</v>
      </c>
      <c r="C579" s="1" t="s">
        <v>574</v>
      </c>
      <c r="D579" s="1" t="s">
        <v>2610</v>
      </c>
      <c r="E579" s="1" t="s">
        <v>5700</v>
      </c>
      <c r="F579" s="1" t="s">
        <v>5596</v>
      </c>
      <c r="H579">
        <v>5673512</v>
      </c>
      <c r="I579" s="1" t="s">
        <v>576</v>
      </c>
      <c r="J579" s="44" t="s">
        <v>138</v>
      </c>
      <c r="K579" s="44"/>
      <c r="L579" s="1"/>
      <c r="M579" s="1" t="s">
        <v>9906</v>
      </c>
      <c r="N579" s="1" t="s">
        <v>5701</v>
      </c>
    </row>
    <row r="580" spans="1:14">
      <c r="A580" s="1" t="s">
        <v>2368</v>
      </c>
      <c r="B580" s="1" t="s">
        <v>2369</v>
      </c>
      <c r="C580" s="1" t="s">
        <v>1670</v>
      </c>
      <c r="D580" s="1" t="s">
        <v>2614</v>
      </c>
      <c r="E580" s="1" t="s">
        <v>9907</v>
      </c>
      <c r="F580" s="1" t="s">
        <v>9908</v>
      </c>
      <c r="G580" t="s">
        <v>9909</v>
      </c>
      <c r="H580">
        <v>4067738</v>
      </c>
      <c r="I580" s="1" t="s">
        <v>5936</v>
      </c>
      <c r="J580" s="44" t="s">
        <v>5936</v>
      </c>
      <c r="K580" s="44" t="s">
        <v>5088</v>
      </c>
      <c r="L580" s="1" t="s">
        <v>7285</v>
      </c>
      <c r="M580" s="1" t="s">
        <v>9910</v>
      </c>
      <c r="N580" s="1" t="s">
        <v>8133</v>
      </c>
    </row>
    <row r="581" spans="1:14">
      <c r="A581" s="1" t="s">
        <v>2391</v>
      </c>
      <c r="B581" s="1" t="s">
        <v>2392</v>
      </c>
      <c r="C581" s="1" t="s">
        <v>2393</v>
      </c>
      <c r="D581" s="1" t="s">
        <v>2619</v>
      </c>
      <c r="E581" s="1" t="s">
        <v>9911</v>
      </c>
      <c r="F581" s="1" t="s">
        <v>6290</v>
      </c>
      <c r="G581" t="s">
        <v>9912</v>
      </c>
      <c r="H581">
        <v>3430605</v>
      </c>
      <c r="I581" s="1" t="s">
        <v>690</v>
      </c>
      <c r="J581" s="44" t="s">
        <v>54</v>
      </c>
      <c r="K581" s="44" t="s">
        <v>5067</v>
      </c>
      <c r="L581" s="1" t="s">
        <v>5399</v>
      </c>
      <c r="M581" s="1" t="s">
        <v>9913</v>
      </c>
      <c r="N581" s="1" t="s">
        <v>8098</v>
      </c>
    </row>
    <row r="582" spans="1:14">
      <c r="A582" s="1" t="s">
        <v>2384</v>
      </c>
      <c r="B582" s="1" t="s">
        <v>2385</v>
      </c>
      <c r="C582" s="1" t="s">
        <v>2386</v>
      </c>
      <c r="D582" s="1" t="s">
        <v>2623</v>
      </c>
      <c r="E582" s="1" t="s">
        <v>9914</v>
      </c>
      <c r="F582" s="1" t="s">
        <v>5725</v>
      </c>
      <c r="G582" t="s">
        <v>9915</v>
      </c>
      <c r="H582">
        <v>2554252</v>
      </c>
      <c r="I582" s="1" t="s">
        <v>9916</v>
      </c>
      <c r="J582" s="44" t="s">
        <v>9916</v>
      </c>
      <c r="K582" s="44" t="s">
        <v>5005</v>
      </c>
      <c r="L582" s="1" t="s">
        <v>6543</v>
      </c>
      <c r="M582" s="1" t="s">
        <v>9917</v>
      </c>
      <c r="N582" s="1" t="s">
        <v>8152</v>
      </c>
    </row>
    <row r="583" spans="1:14">
      <c r="A583" s="1" t="s">
        <v>2395</v>
      </c>
      <c r="B583" s="1" t="s">
        <v>2396</v>
      </c>
      <c r="C583" s="1" t="s">
        <v>2397</v>
      </c>
      <c r="D583" s="1" t="s">
        <v>2628</v>
      </c>
      <c r="E583" s="1" t="s">
        <v>9918</v>
      </c>
      <c r="F583" s="1" t="s">
        <v>5937</v>
      </c>
      <c r="G583" t="s">
        <v>9919</v>
      </c>
      <c r="H583">
        <v>2013545</v>
      </c>
      <c r="I583" s="1" t="s">
        <v>5938</v>
      </c>
      <c r="J583" s="44" t="s">
        <v>5938</v>
      </c>
      <c r="K583" s="44" t="s">
        <v>5067</v>
      </c>
      <c r="L583" s="1" t="s">
        <v>7345</v>
      </c>
      <c r="M583" s="1" t="s">
        <v>6207</v>
      </c>
      <c r="N583" s="1" t="s">
        <v>8098</v>
      </c>
    </row>
    <row r="584" spans="1:14">
      <c r="A584" s="1" t="s">
        <v>1758</v>
      </c>
      <c r="B584" s="1" t="s">
        <v>1759</v>
      </c>
      <c r="C584" s="1" t="s">
        <v>1760</v>
      </c>
      <c r="D584" s="1" t="s">
        <v>2632</v>
      </c>
      <c r="E584" s="1" t="s">
        <v>9920</v>
      </c>
      <c r="F584" s="1" t="s">
        <v>5811</v>
      </c>
      <c r="G584" t="s">
        <v>9921</v>
      </c>
      <c r="H584">
        <v>1985843</v>
      </c>
      <c r="I584" s="1" t="s">
        <v>9922</v>
      </c>
      <c r="J584" s="44" t="s">
        <v>9922</v>
      </c>
      <c r="K584" s="44" t="s">
        <v>5067</v>
      </c>
      <c r="L584" s="1" t="s">
        <v>6250</v>
      </c>
      <c r="M584" s="1" t="s">
        <v>9923</v>
      </c>
      <c r="N584" s="1" t="s">
        <v>8133</v>
      </c>
    </row>
    <row r="585" spans="1:14">
      <c r="A585" s="1" t="s">
        <v>1595</v>
      </c>
      <c r="B585" s="1" t="s">
        <v>1596</v>
      </c>
      <c r="C585" s="1" t="s">
        <v>1597</v>
      </c>
      <c r="D585" s="1" t="s">
        <v>2636</v>
      </c>
      <c r="E585" s="1" t="s">
        <v>9924</v>
      </c>
      <c r="F585" s="1" t="s">
        <v>5343</v>
      </c>
      <c r="G585" t="s">
        <v>9925</v>
      </c>
      <c r="H585">
        <v>1658011</v>
      </c>
      <c r="I585" s="1" t="s">
        <v>9926</v>
      </c>
      <c r="J585" s="44" t="s">
        <v>9926</v>
      </c>
      <c r="K585" s="44" t="s">
        <v>7440</v>
      </c>
      <c r="L585" s="1" t="s">
        <v>9927</v>
      </c>
      <c r="M585" s="1" t="s">
        <v>8002</v>
      </c>
      <c r="N585" s="1" t="s">
        <v>8483</v>
      </c>
    </row>
    <row r="586" spans="1:14">
      <c r="A586" s="1" t="s">
        <v>1334</v>
      </c>
      <c r="B586" s="1" t="s">
        <v>1335</v>
      </c>
      <c r="C586" s="1" t="s">
        <v>1336</v>
      </c>
      <c r="D586" s="1" t="s">
        <v>2641</v>
      </c>
      <c r="E586" s="1" t="s">
        <v>9928</v>
      </c>
      <c r="F586" s="1" t="s">
        <v>9929</v>
      </c>
      <c r="G586" t="s">
        <v>9930</v>
      </c>
      <c r="H586">
        <v>1645615</v>
      </c>
      <c r="I586" s="1" t="s">
        <v>1338</v>
      </c>
      <c r="J586" s="44" t="s">
        <v>1338</v>
      </c>
      <c r="K586" s="44" t="s">
        <v>6119</v>
      </c>
      <c r="L586" s="1" t="s">
        <v>7073</v>
      </c>
      <c r="M586" s="1" t="s">
        <v>7640</v>
      </c>
      <c r="N586" s="1" t="s">
        <v>8137</v>
      </c>
    </row>
    <row r="587" spans="1:14">
      <c r="A587" s="1" t="s">
        <v>1672</v>
      </c>
      <c r="B587" s="1" t="s">
        <v>1673</v>
      </c>
      <c r="C587" s="1" t="s">
        <v>1674</v>
      </c>
      <c r="D587" s="1" t="s">
        <v>2645</v>
      </c>
      <c r="E587" s="1" t="s">
        <v>9931</v>
      </c>
      <c r="F587" s="1" t="s">
        <v>6238</v>
      </c>
      <c r="G587" t="s">
        <v>9932</v>
      </c>
      <c r="H587">
        <v>1542950</v>
      </c>
      <c r="I587" s="1" t="s">
        <v>230</v>
      </c>
      <c r="J587" s="44" t="s">
        <v>230</v>
      </c>
      <c r="K587" s="44" t="s">
        <v>5067</v>
      </c>
      <c r="L587" s="1" t="s">
        <v>7311</v>
      </c>
      <c r="M587" s="1" t="s">
        <v>5562</v>
      </c>
      <c r="N587" s="1" t="s">
        <v>8396</v>
      </c>
    </row>
    <row r="588" spans="1:14">
      <c r="A588" s="1" t="s">
        <v>1591</v>
      </c>
      <c r="B588" s="1" t="s">
        <v>1592</v>
      </c>
      <c r="C588" s="1" t="s">
        <v>1593</v>
      </c>
      <c r="D588" s="1" t="s">
        <v>2646</v>
      </c>
      <c r="E588" s="1" t="s">
        <v>9933</v>
      </c>
      <c r="F588" s="1" t="s">
        <v>6291</v>
      </c>
      <c r="G588" t="s">
        <v>9934</v>
      </c>
      <c r="H588">
        <v>1534623</v>
      </c>
      <c r="I588" s="1" t="s">
        <v>9935</v>
      </c>
      <c r="J588" s="44" t="s">
        <v>9935</v>
      </c>
      <c r="K588" s="44" t="s">
        <v>5067</v>
      </c>
      <c r="L588" s="1" t="s">
        <v>7630</v>
      </c>
      <c r="M588" s="1" t="s">
        <v>6142</v>
      </c>
      <c r="N588" s="1" t="s">
        <v>8074</v>
      </c>
    </row>
    <row r="589" spans="1:14">
      <c r="A589" s="1" t="s">
        <v>1317</v>
      </c>
      <c r="B589" s="1" t="s">
        <v>1318</v>
      </c>
      <c r="C589" s="1" t="s">
        <v>1319</v>
      </c>
      <c r="D589" s="1" t="s">
        <v>2650</v>
      </c>
      <c r="E589" s="1" t="s">
        <v>9936</v>
      </c>
      <c r="F589" s="1" t="s">
        <v>1158</v>
      </c>
      <c r="G589" t="s">
        <v>9937</v>
      </c>
      <c r="H589">
        <v>1521689</v>
      </c>
      <c r="I589" s="1" t="s">
        <v>6293</v>
      </c>
      <c r="J589" s="44" t="s">
        <v>6293</v>
      </c>
      <c r="K589" s="44" t="s">
        <v>3488</v>
      </c>
      <c r="L589" s="1" t="s">
        <v>9938</v>
      </c>
      <c r="M589" s="1" t="s">
        <v>5759</v>
      </c>
      <c r="N589" s="1" t="s">
        <v>8085</v>
      </c>
    </row>
    <row r="590" spans="1:14">
      <c r="A590" s="1" t="s">
        <v>2399</v>
      </c>
      <c r="B590" s="1" t="s">
        <v>2400</v>
      </c>
      <c r="C590" s="1" t="s">
        <v>2401</v>
      </c>
      <c r="D590" s="1" t="s">
        <v>2654</v>
      </c>
      <c r="E590" s="1" t="s">
        <v>9939</v>
      </c>
      <c r="F590" s="1" t="s">
        <v>6743</v>
      </c>
      <c r="G590" t="s">
        <v>9940</v>
      </c>
      <c r="H590">
        <v>1377622</v>
      </c>
      <c r="I590" s="1" t="s">
        <v>2403</v>
      </c>
      <c r="J590" s="44" t="s">
        <v>2403</v>
      </c>
      <c r="K590" s="44" t="s">
        <v>5399</v>
      </c>
      <c r="L590" s="1" t="s">
        <v>7644</v>
      </c>
      <c r="M590" s="1" t="s">
        <v>7682</v>
      </c>
      <c r="N590" s="1" t="s">
        <v>8483</v>
      </c>
    </row>
    <row r="591" spans="1:14">
      <c r="A591" s="1" t="s">
        <v>1680</v>
      </c>
      <c r="B591" s="1" t="s">
        <v>1681</v>
      </c>
      <c r="C591" s="1" t="s">
        <v>1682</v>
      </c>
      <c r="D591" s="1" t="s">
        <v>2660</v>
      </c>
      <c r="E591" s="1" t="s">
        <v>9941</v>
      </c>
      <c r="F591" s="1" t="s">
        <v>2061</v>
      </c>
      <c r="G591" t="s">
        <v>9942</v>
      </c>
      <c r="H591">
        <v>1361472</v>
      </c>
      <c r="I591" s="1" t="s">
        <v>1684</v>
      </c>
      <c r="J591" s="44" t="s">
        <v>1684</v>
      </c>
      <c r="K591" s="44" t="s">
        <v>7315</v>
      </c>
      <c r="L591" s="1" t="s">
        <v>7996</v>
      </c>
      <c r="M591" s="1" t="s">
        <v>9943</v>
      </c>
      <c r="N591" s="1" t="s">
        <v>8074</v>
      </c>
    </row>
    <row r="592" spans="1:14">
      <c r="A592" s="1" t="s">
        <v>1726</v>
      </c>
      <c r="B592" s="1" t="s">
        <v>1727</v>
      </c>
      <c r="C592" s="1" t="s">
        <v>1728</v>
      </c>
      <c r="D592" s="1" t="s">
        <v>2665</v>
      </c>
      <c r="E592" s="1" t="s">
        <v>9944</v>
      </c>
      <c r="F592" s="1" t="s">
        <v>6555</v>
      </c>
      <c r="G592" t="s">
        <v>9945</v>
      </c>
      <c r="H592">
        <v>1308733</v>
      </c>
      <c r="I592" s="1" t="s">
        <v>9946</v>
      </c>
      <c r="J592" s="44" t="s">
        <v>9946</v>
      </c>
      <c r="K592" s="44" t="s">
        <v>5855</v>
      </c>
      <c r="L592" s="1" t="s">
        <v>7823</v>
      </c>
      <c r="M592" s="1" t="s">
        <v>7207</v>
      </c>
      <c r="N592" s="1" t="s">
        <v>8190</v>
      </c>
    </row>
    <row r="593" spans="1:14">
      <c r="A593" s="1" t="s">
        <v>1699</v>
      </c>
      <c r="B593" s="1" t="s">
        <v>1700</v>
      </c>
      <c r="C593" s="1" t="s">
        <v>1701</v>
      </c>
      <c r="D593" s="1" t="s">
        <v>2669</v>
      </c>
      <c r="E593" s="1" t="s">
        <v>9947</v>
      </c>
      <c r="F593" s="1" t="s">
        <v>9948</v>
      </c>
      <c r="G593" t="s">
        <v>9949</v>
      </c>
      <c r="H593">
        <v>1152906</v>
      </c>
      <c r="I593" s="1" t="s">
        <v>1703</v>
      </c>
      <c r="J593" s="44" t="s">
        <v>1704</v>
      </c>
      <c r="K593" s="44" t="s">
        <v>5399</v>
      </c>
      <c r="L593" s="1" t="s">
        <v>6043</v>
      </c>
      <c r="M593" s="1" t="s">
        <v>7561</v>
      </c>
      <c r="N593" s="1" t="s">
        <v>8396</v>
      </c>
    </row>
    <row r="594" spans="1:14">
      <c r="A594" s="1" t="s">
        <v>2607</v>
      </c>
      <c r="B594" s="1" t="s">
        <v>2608</v>
      </c>
      <c r="C594" s="1" t="s">
        <v>2609</v>
      </c>
      <c r="D594" s="1" t="s">
        <v>2674</v>
      </c>
      <c r="E594" s="1" t="s">
        <v>9950</v>
      </c>
      <c r="F594" s="1" t="s">
        <v>5284</v>
      </c>
      <c r="G594" t="s">
        <v>9951</v>
      </c>
      <c r="H594">
        <v>1105436</v>
      </c>
      <c r="I594" s="1" t="s">
        <v>2611</v>
      </c>
      <c r="J594" s="44" t="s">
        <v>2611</v>
      </c>
      <c r="K594" s="44" t="s">
        <v>5048</v>
      </c>
      <c r="L594" s="1" t="s">
        <v>9952</v>
      </c>
      <c r="M594" s="1" t="s">
        <v>9953</v>
      </c>
      <c r="N594" s="1" t="s">
        <v>8085</v>
      </c>
    </row>
    <row r="595" spans="1:14">
      <c r="A595" s="1" t="s">
        <v>1730</v>
      </c>
      <c r="B595" s="1" t="s">
        <v>1731</v>
      </c>
      <c r="C595" s="1" t="s">
        <v>1732</v>
      </c>
      <c r="D595" s="1" t="s">
        <v>2679</v>
      </c>
      <c r="E595" s="1" t="s">
        <v>9954</v>
      </c>
      <c r="F595" s="1" t="s">
        <v>754</v>
      </c>
      <c r="G595" t="s">
        <v>9955</v>
      </c>
      <c r="H595">
        <v>1024564</v>
      </c>
      <c r="I595" s="1" t="s">
        <v>9956</v>
      </c>
      <c r="J595" s="44" t="s">
        <v>9957</v>
      </c>
      <c r="K595" s="44" t="s">
        <v>5628</v>
      </c>
      <c r="L595" s="1" t="s">
        <v>8016</v>
      </c>
      <c r="M595" s="1" t="s">
        <v>6311</v>
      </c>
      <c r="N595" s="1" t="s">
        <v>8090</v>
      </c>
    </row>
    <row r="596" spans="1:14">
      <c r="A596" s="1" t="s">
        <v>2435</v>
      </c>
      <c r="B596" s="1" t="s">
        <v>2436</v>
      </c>
      <c r="C596" s="1" t="s">
        <v>2437</v>
      </c>
      <c r="D596" s="1" t="s">
        <v>2685</v>
      </c>
      <c r="E596" s="1" t="s">
        <v>9958</v>
      </c>
      <c r="F596" s="1" t="s">
        <v>6295</v>
      </c>
      <c r="G596" t="s">
        <v>9959</v>
      </c>
      <c r="H596">
        <v>1003959</v>
      </c>
      <c r="I596" s="1" t="s">
        <v>9960</v>
      </c>
      <c r="J596" s="44" t="s">
        <v>9960</v>
      </c>
      <c r="K596" s="44" t="s">
        <v>5067</v>
      </c>
      <c r="L596" s="1"/>
      <c r="M596" s="1" t="s">
        <v>5695</v>
      </c>
      <c r="N596" s="1" t="s">
        <v>8173</v>
      </c>
    </row>
    <row r="597" spans="1:14">
      <c r="A597" s="1" t="s">
        <v>2518</v>
      </c>
      <c r="B597" s="1" t="s">
        <v>2519</v>
      </c>
      <c r="C597" s="1" t="s">
        <v>2520</v>
      </c>
      <c r="D597" s="1" t="s">
        <v>2689</v>
      </c>
      <c r="E597" s="1" t="s">
        <v>9817</v>
      </c>
      <c r="F597" s="1" t="s">
        <v>754</v>
      </c>
      <c r="G597" t="s">
        <v>9961</v>
      </c>
      <c r="H597">
        <v>962654</v>
      </c>
      <c r="I597" s="1" t="s">
        <v>2522</v>
      </c>
      <c r="J597" s="44" t="s">
        <v>2523</v>
      </c>
      <c r="K597" s="44" t="s">
        <v>5067</v>
      </c>
      <c r="L597" s="1" t="s">
        <v>7038</v>
      </c>
      <c r="M597" s="1" t="s">
        <v>7800</v>
      </c>
      <c r="N597" s="1" t="s">
        <v>8137</v>
      </c>
    </row>
    <row r="598" spans="1:14">
      <c r="A598" s="1" t="s">
        <v>1972</v>
      </c>
      <c r="B598" s="1" t="s">
        <v>1973</v>
      </c>
      <c r="C598" s="1" t="s">
        <v>1974</v>
      </c>
      <c r="D598" s="1" t="s">
        <v>2693</v>
      </c>
      <c r="E598" s="1" t="s">
        <v>9962</v>
      </c>
      <c r="F598" s="1" t="s">
        <v>5940</v>
      </c>
      <c r="G598" t="s">
        <v>9963</v>
      </c>
      <c r="H598">
        <v>815285</v>
      </c>
      <c r="I598" s="1" t="s">
        <v>9964</v>
      </c>
      <c r="J598" s="44" t="s">
        <v>9964</v>
      </c>
      <c r="K598" s="44" t="s">
        <v>5002</v>
      </c>
      <c r="L598" s="1" t="s">
        <v>3488</v>
      </c>
      <c r="M598" s="1" t="s">
        <v>5379</v>
      </c>
      <c r="N598" s="1" t="s">
        <v>8085</v>
      </c>
    </row>
    <row r="599" spans="1:14">
      <c r="A599" s="1" t="s">
        <v>2415</v>
      </c>
      <c r="B599" s="1" t="s">
        <v>2416</v>
      </c>
      <c r="C599" s="1" t="s">
        <v>2417</v>
      </c>
      <c r="D599" s="1" t="s">
        <v>2698</v>
      </c>
      <c r="E599" s="1" t="s">
        <v>5632</v>
      </c>
      <c r="F599" s="1" t="s">
        <v>5598</v>
      </c>
      <c r="H599">
        <v>798633</v>
      </c>
      <c r="I599" s="1" t="s">
        <v>2419</v>
      </c>
      <c r="J599" s="44" t="s">
        <v>54</v>
      </c>
      <c r="K599" s="44"/>
      <c r="L599" s="1"/>
      <c r="M599" s="1" t="s">
        <v>6951</v>
      </c>
      <c r="N599" s="1" t="s">
        <v>5633</v>
      </c>
    </row>
    <row r="600" spans="1:14">
      <c r="A600" s="1" t="s">
        <v>1547</v>
      </c>
      <c r="B600" s="1" t="s">
        <v>1548</v>
      </c>
      <c r="C600" s="1" t="s">
        <v>1549</v>
      </c>
      <c r="D600" s="1" t="s">
        <v>2702</v>
      </c>
      <c r="E600" s="1" t="s">
        <v>9965</v>
      </c>
      <c r="F600" s="1" t="s">
        <v>7641</v>
      </c>
      <c r="G600" t="s">
        <v>9966</v>
      </c>
      <c r="H600">
        <v>735061</v>
      </c>
      <c r="I600" s="1" t="s">
        <v>1551</v>
      </c>
      <c r="J600" s="44" t="s">
        <v>1552</v>
      </c>
      <c r="K600" s="44" t="s">
        <v>7508</v>
      </c>
      <c r="L600" s="1" t="s">
        <v>7624</v>
      </c>
      <c r="M600" s="1" t="s">
        <v>7422</v>
      </c>
      <c r="N600" s="1" t="s">
        <v>8102</v>
      </c>
    </row>
    <row r="601" spans="1:14">
      <c r="A601" s="1" t="s">
        <v>1767</v>
      </c>
      <c r="B601" s="1" t="s">
        <v>1768</v>
      </c>
      <c r="C601" s="1" t="s">
        <v>1769</v>
      </c>
      <c r="D601" s="1" t="s">
        <v>2706</v>
      </c>
      <c r="E601" s="1" t="s">
        <v>9967</v>
      </c>
      <c r="F601" s="1" t="s">
        <v>6089</v>
      </c>
      <c r="G601" t="s">
        <v>9968</v>
      </c>
      <c r="H601">
        <v>725255</v>
      </c>
      <c r="I601" s="1" t="s">
        <v>1771</v>
      </c>
      <c r="J601" s="44" t="s">
        <v>989</v>
      </c>
      <c r="K601" s="44" t="s">
        <v>5407</v>
      </c>
      <c r="L601" s="1" t="s">
        <v>9969</v>
      </c>
      <c r="M601" s="1" t="s">
        <v>7695</v>
      </c>
      <c r="N601" s="1" t="s">
        <v>8171</v>
      </c>
    </row>
    <row r="602" spans="1:14">
      <c r="A602" s="1" t="s">
        <v>1942</v>
      </c>
      <c r="B602" s="1" t="s">
        <v>1943</v>
      </c>
      <c r="C602" s="1" t="s">
        <v>1944</v>
      </c>
      <c r="D602" s="1" t="s">
        <v>2710</v>
      </c>
      <c r="E602" s="1" t="s">
        <v>9970</v>
      </c>
      <c r="F602" s="1" t="s">
        <v>6930</v>
      </c>
      <c r="G602" t="s">
        <v>9971</v>
      </c>
      <c r="H602">
        <v>713789</v>
      </c>
      <c r="I602" s="1" t="s">
        <v>1946</v>
      </c>
      <c r="J602" s="44" t="s">
        <v>1947</v>
      </c>
      <c r="K602" s="44" t="s">
        <v>3488</v>
      </c>
      <c r="L602" s="1" t="s">
        <v>7430</v>
      </c>
      <c r="M602" s="1" t="s">
        <v>6529</v>
      </c>
      <c r="N602" s="1" t="s">
        <v>8186</v>
      </c>
    </row>
    <row r="603" spans="1:14">
      <c r="A603" s="1" t="s">
        <v>4966</v>
      </c>
      <c r="B603" s="1" t="s">
        <v>4967</v>
      </c>
      <c r="C603" s="1" t="s">
        <v>4968</v>
      </c>
      <c r="D603" s="1" t="s">
        <v>2715</v>
      </c>
      <c r="E603" s="1" t="s">
        <v>9972</v>
      </c>
      <c r="F603" s="1" t="s">
        <v>6297</v>
      </c>
      <c r="G603" t="s">
        <v>9973</v>
      </c>
      <c r="H603">
        <v>700346</v>
      </c>
      <c r="I603" s="1" t="s">
        <v>5123</v>
      </c>
      <c r="J603" s="44" t="s">
        <v>54</v>
      </c>
      <c r="K603" s="44" t="s">
        <v>5067</v>
      </c>
      <c r="L603" s="1" t="s">
        <v>9974</v>
      </c>
      <c r="M603" s="1" t="s">
        <v>8005</v>
      </c>
      <c r="N603" s="1" t="s">
        <v>8140</v>
      </c>
    </row>
    <row r="604" spans="1:14">
      <c r="A604" s="1" t="s">
        <v>2470</v>
      </c>
      <c r="B604" s="1" t="s">
        <v>2471</v>
      </c>
      <c r="C604" s="1" t="s">
        <v>2472</v>
      </c>
      <c r="D604" s="1" t="s">
        <v>2720</v>
      </c>
      <c r="E604" s="1" t="s">
        <v>9975</v>
      </c>
      <c r="F604" s="1" t="s">
        <v>5932</v>
      </c>
      <c r="G604" t="s">
        <v>9976</v>
      </c>
      <c r="H604">
        <v>694677</v>
      </c>
      <c r="I604" s="1" t="s">
        <v>9977</v>
      </c>
      <c r="J604" s="44" t="s">
        <v>9977</v>
      </c>
      <c r="K604" s="44" t="s">
        <v>5067</v>
      </c>
      <c r="L604" s="1" t="s">
        <v>6233</v>
      </c>
      <c r="M604" s="1" t="s">
        <v>7144</v>
      </c>
      <c r="N604" s="1" t="s">
        <v>8085</v>
      </c>
    </row>
    <row r="605" spans="1:14">
      <c r="A605" s="1" t="s">
        <v>2443</v>
      </c>
      <c r="B605" s="1" t="s">
        <v>2444</v>
      </c>
      <c r="C605" s="1" t="s">
        <v>2445</v>
      </c>
      <c r="D605" s="1" t="s">
        <v>2725</v>
      </c>
      <c r="E605" s="1" t="s">
        <v>9978</v>
      </c>
      <c r="F605" s="1" t="s">
        <v>1709</v>
      </c>
      <c r="G605" t="s">
        <v>9979</v>
      </c>
      <c r="H605">
        <v>673732</v>
      </c>
      <c r="I605" s="1" t="s">
        <v>5813</v>
      </c>
      <c r="J605" s="44" t="s">
        <v>5813</v>
      </c>
      <c r="K605" s="44" t="s">
        <v>5049</v>
      </c>
      <c r="L605" s="1" t="s">
        <v>7038</v>
      </c>
      <c r="M605" s="1" t="s">
        <v>5833</v>
      </c>
      <c r="N605" s="1" t="s">
        <v>8152</v>
      </c>
    </row>
    <row r="606" spans="1:14">
      <c r="A606" s="1" t="s">
        <v>3918</v>
      </c>
      <c r="B606" s="1" t="s">
        <v>3919</v>
      </c>
      <c r="C606" s="1" t="s">
        <v>3920</v>
      </c>
      <c r="D606" s="1" t="s">
        <v>2731</v>
      </c>
      <c r="E606" s="1" t="s">
        <v>9980</v>
      </c>
      <c r="F606" s="1" t="s">
        <v>5097</v>
      </c>
      <c r="G606" t="s">
        <v>9981</v>
      </c>
      <c r="H606">
        <v>667420</v>
      </c>
      <c r="I606" s="1" t="s">
        <v>3922</v>
      </c>
      <c r="J606" s="44" t="s">
        <v>3922</v>
      </c>
      <c r="K606" s="44" t="s">
        <v>5067</v>
      </c>
      <c r="L606" s="1" t="s">
        <v>7513</v>
      </c>
      <c r="M606" s="1" t="s">
        <v>9982</v>
      </c>
      <c r="N606" s="1" t="s">
        <v>8080</v>
      </c>
    </row>
    <row r="607" spans="1:14">
      <c r="A607" s="1" t="s">
        <v>1951</v>
      </c>
      <c r="B607" s="1" t="s">
        <v>1952</v>
      </c>
      <c r="C607" s="1" t="s">
        <v>1953</v>
      </c>
      <c r="D607" s="1" t="s">
        <v>2733</v>
      </c>
      <c r="E607" s="1" t="s">
        <v>9983</v>
      </c>
      <c r="F607" s="1" t="s">
        <v>5508</v>
      </c>
      <c r="G607" t="s">
        <v>9984</v>
      </c>
      <c r="H607">
        <v>662847</v>
      </c>
      <c r="I607" s="1" t="s">
        <v>9985</v>
      </c>
      <c r="J607" s="44" t="s">
        <v>9985</v>
      </c>
      <c r="K607" s="44" t="s">
        <v>6028</v>
      </c>
      <c r="L607" s="1" t="s">
        <v>5819</v>
      </c>
      <c r="M607" s="1" t="s">
        <v>5799</v>
      </c>
      <c r="N607" s="1" t="s">
        <v>8074</v>
      </c>
    </row>
    <row r="608" spans="1:14">
      <c r="A608" s="1" t="s">
        <v>1579</v>
      </c>
      <c r="B608" s="1" t="s">
        <v>1580</v>
      </c>
      <c r="C608" s="1" t="s">
        <v>1581</v>
      </c>
      <c r="D608" s="1" t="s">
        <v>2737</v>
      </c>
      <c r="E608" s="1" t="s">
        <v>9986</v>
      </c>
      <c r="F608" s="1" t="s">
        <v>6744</v>
      </c>
      <c r="G608" t="s">
        <v>9987</v>
      </c>
      <c r="H608">
        <v>645851</v>
      </c>
      <c r="I608" s="1" t="s">
        <v>1583</v>
      </c>
      <c r="J608" s="44" t="s">
        <v>1584</v>
      </c>
      <c r="K608" s="44" t="s">
        <v>5048</v>
      </c>
      <c r="L608" s="1" t="s">
        <v>7444</v>
      </c>
      <c r="M608" s="1" t="s">
        <v>7923</v>
      </c>
      <c r="N608" s="1" t="s">
        <v>8080</v>
      </c>
    </row>
    <row r="609" spans="1:14">
      <c r="A609" s="1" t="s">
        <v>1985</v>
      </c>
      <c r="B609" s="1" t="s">
        <v>1986</v>
      </c>
      <c r="C609" s="1" t="s">
        <v>1987</v>
      </c>
      <c r="D609" s="1" t="s">
        <v>2741</v>
      </c>
      <c r="E609" s="1" t="s">
        <v>9988</v>
      </c>
      <c r="F609" s="1" t="s">
        <v>1312</v>
      </c>
      <c r="G609" t="s">
        <v>9989</v>
      </c>
      <c r="H609">
        <v>601136</v>
      </c>
      <c r="I609" s="1" t="s">
        <v>6745</v>
      </c>
      <c r="J609" s="44" t="s">
        <v>6745</v>
      </c>
      <c r="K609" s="44" t="s">
        <v>5001</v>
      </c>
      <c r="L609" s="1" t="s">
        <v>7703</v>
      </c>
      <c r="M609" s="1" t="s">
        <v>7861</v>
      </c>
      <c r="N609" s="1" t="s">
        <v>8085</v>
      </c>
    </row>
    <row r="610" spans="1:14">
      <c r="A610" s="1" t="s">
        <v>2652</v>
      </c>
      <c r="B610" s="1" t="s">
        <v>2653</v>
      </c>
      <c r="C610" s="1" t="s">
        <v>2653</v>
      </c>
      <c r="D610" s="1" t="s">
        <v>2745</v>
      </c>
      <c r="E610" s="1" t="s">
        <v>5297</v>
      </c>
      <c r="F610" s="1" t="s">
        <v>5298</v>
      </c>
      <c r="H610">
        <v>596350</v>
      </c>
      <c r="I610" s="1" t="s">
        <v>2655</v>
      </c>
      <c r="J610" s="44" t="s">
        <v>2656</v>
      </c>
      <c r="K610" s="44"/>
      <c r="L610" s="1"/>
      <c r="M610" s="1" t="s">
        <v>5132</v>
      </c>
      <c r="N610" s="1" t="s">
        <v>5299</v>
      </c>
    </row>
    <row r="611" spans="1:14">
      <c r="A611" s="1" t="s">
        <v>2420</v>
      </c>
      <c r="B611" s="1" t="s">
        <v>2421</v>
      </c>
      <c r="C611" s="1" t="s">
        <v>2422</v>
      </c>
      <c r="D611" s="1" t="s">
        <v>2750</v>
      </c>
      <c r="E611" s="1" t="s">
        <v>9990</v>
      </c>
      <c r="F611" s="1" t="s">
        <v>5925</v>
      </c>
      <c r="G611" t="s">
        <v>9991</v>
      </c>
      <c r="H611">
        <v>548847</v>
      </c>
      <c r="I611" s="1" t="s">
        <v>2424</v>
      </c>
      <c r="J611" s="44" t="s">
        <v>2424</v>
      </c>
      <c r="K611" s="44" t="s">
        <v>5001</v>
      </c>
      <c r="L611" s="1" t="s">
        <v>7038</v>
      </c>
      <c r="M611" s="1" t="s">
        <v>7493</v>
      </c>
      <c r="N611" s="1" t="s">
        <v>8263</v>
      </c>
    </row>
    <row r="612" spans="1:14">
      <c r="A612" s="1" t="s">
        <v>2452</v>
      </c>
      <c r="B612" s="1" t="s">
        <v>2453</v>
      </c>
      <c r="C612" s="1" t="s">
        <v>2454</v>
      </c>
      <c r="D612" s="1" t="s">
        <v>2755</v>
      </c>
      <c r="E612" s="1" t="s">
        <v>9992</v>
      </c>
      <c r="F612" s="1" t="s">
        <v>1312</v>
      </c>
      <c r="G612" t="s">
        <v>9993</v>
      </c>
      <c r="H612">
        <v>541900</v>
      </c>
      <c r="I612" s="1" t="s">
        <v>9994</v>
      </c>
      <c r="J612" s="44" t="s">
        <v>9994</v>
      </c>
      <c r="K612" s="44" t="s">
        <v>7631</v>
      </c>
      <c r="L612" s="1" t="s">
        <v>7424</v>
      </c>
      <c r="M612" s="1" t="s">
        <v>6060</v>
      </c>
      <c r="N612" s="1" t="s">
        <v>8152</v>
      </c>
    </row>
    <row r="613" spans="1:14">
      <c r="A613" s="1" t="s">
        <v>2447</v>
      </c>
      <c r="B613" s="1" t="s">
        <v>2448</v>
      </c>
      <c r="C613" s="1" t="s">
        <v>2449</v>
      </c>
      <c r="D613" s="1" t="s">
        <v>2759</v>
      </c>
      <c r="E613" s="1" t="s">
        <v>9995</v>
      </c>
      <c r="F613" s="1" t="s">
        <v>5921</v>
      </c>
      <c r="G613" t="s">
        <v>9996</v>
      </c>
      <c r="H613">
        <v>537315</v>
      </c>
      <c r="I613" s="1" t="s">
        <v>2451</v>
      </c>
      <c r="J613" s="44" t="s">
        <v>2451</v>
      </c>
      <c r="K613" s="44" t="s">
        <v>6319</v>
      </c>
      <c r="L613" s="1" t="s">
        <v>7707</v>
      </c>
      <c r="M613" s="1" t="s">
        <v>7472</v>
      </c>
      <c r="N613" s="1" t="s">
        <v>8107</v>
      </c>
    </row>
    <row r="614" spans="1:14">
      <c r="A614" s="1" t="s">
        <v>2633</v>
      </c>
      <c r="B614" s="1" t="s">
        <v>2634</v>
      </c>
      <c r="C614" s="1" t="s">
        <v>2635</v>
      </c>
      <c r="D614" s="1" t="s">
        <v>2765</v>
      </c>
      <c r="E614" s="1" t="s">
        <v>9997</v>
      </c>
      <c r="F614" s="1" t="s">
        <v>6299</v>
      </c>
      <c r="G614" t="s">
        <v>9998</v>
      </c>
      <c r="H614">
        <v>527603</v>
      </c>
      <c r="I614" s="1" t="s">
        <v>2637</v>
      </c>
      <c r="J614" s="44" t="s">
        <v>2637</v>
      </c>
      <c r="K614" s="44" t="s">
        <v>5001</v>
      </c>
      <c r="L614" s="1" t="s">
        <v>9999</v>
      </c>
      <c r="M614" s="1" t="s">
        <v>6962</v>
      </c>
      <c r="N614" s="1" t="s">
        <v>8190</v>
      </c>
    </row>
    <row r="615" spans="1:14">
      <c r="A615" s="1" t="s">
        <v>2568</v>
      </c>
      <c r="B615" s="1" t="s">
        <v>2569</v>
      </c>
      <c r="C615" s="1" t="s">
        <v>2570</v>
      </c>
      <c r="D615" s="1" t="s">
        <v>2770</v>
      </c>
      <c r="E615" s="1" t="s">
        <v>10000</v>
      </c>
      <c r="F615" s="1" t="s">
        <v>3898</v>
      </c>
      <c r="G615" t="s">
        <v>10001</v>
      </c>
      <c r="H615">
        <v>472698</v>
      </c>
      <c r="I615" s="1" t="s">
        <v>2572</v>
      </c>
      <c r="J615" s="44" t="s">
        <v>2573</v>
      </c>
      <c r="K615" s="44" t="s">
        <v>5241</v>
      </c>
      <c r="L615" s="1" t="s">
        <v>10002</v>
      </c>
      <c r="M615" s="1" t="s">
        <v>7482</v>
      </c>
      <c r="N615" s="1" t="s">
        <v>8121</v>
      </c>
    </row>
    <row r="616" spans="1:14">
      <c r="A616" s="1" t="s">
        <v>2514</v>
      </c>
      <c r="B616" s="1" t="s">
        <v>2515</v>
      </c>
      <c r="C616" s="1" t="s">
        <v>2516</v>
      </c>
      <c r="D616" s="1" t="s">
        <v>2775</v>
      </c>
      <c r="E616" s="1" t="s">
        <v>10003</v>
      </c>
      <c r="F616" s="1" t="s">
        <v>7643</v>
      </c>
      <c r="G616" t="s">
        <v>10004</v>
      </c>
      <c r="H616">
        <v>453830</v>
      </c>
      <c r="I616" s="1" t="s">
        <v>5156</v>
      </c>
      <c r="J616" s="44" t="s">
        <v>5156</v>
      </c>
      <c r="K616" s="44" t="s">
        <v>5494</v>
      </c>
      <c r="L616" s="1" t="s">
        <v>10005</v>
      </c>
      <c r="M616" s="1" t="s">
        <v>7104</v>
      </c>
      <c r="N616" s="1" t="s">
        <v>8070</v>
      </c>
    </row>
    <row r="617" spans="1:14">
      <c r="A617" s="1" t="s">
        <v>2483</v>
      </c>
      <c r="B617" s="1" t="s">
        <v>2484</v>
      </c>
      <c r="C617" s="1" t="s">
        <v>2485</v>
      </c>
      <c r="D617" s="1" t="s">
        <v>2779</v>
      </c>
      <c r="E617" s="1" t="s">
        <v>10006</v>
      </c>
      <c r="F617" s="1" t="s">
        <v>7862</v>
      </c>
      <c r="G617" t="s">
        <v>10007</v>
      </c>
      <c r="H617">
        <v>446005</v>
      </c>
      <c r="I617" s="1" t="s">
        <v>2487</v>
      </c>
      <c r="J617" s="44" t="s">
        <v>2487</v>
      </c>
      <c r="K617" s="44"/>
      <c r="L617" s="1"/>
      <c r="M617" s="1" t="s">
        <v>7151</v>
      </c>
      <c r="N617" s="1" t="s">
        <v>8152</v>
      </c>
    </row>
    <row r="618" spans="1:14">
      <c r="A618" s="1" t="s">
        <v>2595</v>
      </c>
      <c r="B618" s="1" t="s">
        <v>2596</v>
      </c>
      <c r="C618" s="1" t="s">
        <v>2597</v>
      </c>
      <c r="D618" s="1" t="s">
        <v>2783</v>
      </c>
      <c r="E618" s="1" t="s">
        <v>10008</v>
      </c>
      <c r="F618" s="1" t="s">
        <v>6300</v>
      </c>
      <c r="G618" t="s">
        <v>10009</v>
      </c>
      <c r="H618">
        <v>435700</v>
      </c>
      <c r="I618" s="1" t="s">
        <v>10010</v>
      </c>
      <c r="J618" s="44" t="s">
        <v>10010</v>
      </c>
      <c r="K618" s="44" t="s">
        <v>5067</v>
      </c>
      <c r="L618" s="1" t="s">
        <v>7350</v>
      </c>
      <c r="M618" s="1" t="s">
        <v>6660</v>
      </c>
      <c r="N618" s="1" t="s">
        <v>8107</v>
      </c>
    </row>
    <row r="619" spans="1:14">
      <c r="A619" s="1" t="s">
        <v>2524</v>
      </c>
      <c r="B619" s="1" t="s">
        <v>2525</v>
      </c>
      <c r="C619" s="1" t="s">
        <v>939</v>
      </c>
      <c r="D619" s="1" t="s">
        <v>2788</v>
      </c>
      <c r="E619" s="1" t="s">
        <v>10011</v>
      </c>
      <c r="F619" s="1" t="s">
        <v>3168</v>
      </c>
      <c r="G619" t="s">
        <v>10012</v>
      </c>
      <c r="H619">
        <v>434914</v>
      </c>
      <c r="I619" s="1" t="s">
        <v>2527</v>
      </c>
      <c r="J619" s="44" t="s">
        <v>2527</v>
      </c>
      <c r="K619" s="44" t="s">
        <v>5511</v>
      </c>
      <c r="L619" s="1" t="s">
        <v>6213</v>
      </c>
      <c r="M619" s="1" t="s">
        <v>7000</v>
      </c>
      <c r="N619" s="1" t="s">
        <v>8074</v>
      </c>
    </row>
    <row r="620" spans="1:14">
      <c r="A620" s="1" t="s">
        <v>2479</v>
      </c>
      <c r="B620" s="1" t="s">
        <v>2480</v>
      </c>
      <c r="C620" s="1" t="s">
        <v>2481</v>
      </c>
      <c r="D620" s="1" t="s">
        <v>2792</v>
      </c>
      <c r="E620" s="1" t="s">
        <v>10013</v>
      </c>
      <c r="F620" s="1" t="s">
        <v>7171</v>
      </c>
      <c r="G620" t="s">
        <v>10014</v>
      </c>
      <c r="H620">
        <v>422019</v>
      </c>
      <c r="I620" s="1" t="s">
        <v>10015</v>
      </c>
      <c r="J620" s="44" t="s">
        <v>10015</v>
      </c>
      <c r="K620" s="44" t="s">
        <v>5754</v>
      </c>
      <c r="L620" s="1" t="s">
        <v>7917</v>
      </c>
      <c r="M620" s="1" t="s">
        <v>10016</v>
      </c>
      <c r="N620" s="1" t="s">
        <v>8483</v>
      </c>
    </row>
    <row r="621" spans="1:14">
      <c r="A621" s="1" t="s">
        <v>2011</v>
      </c>
      <c r="B621" s="1" t="s">
        <v>2012</v>
      </c>
      <c r="C621" s="1" t="s">
        <v>2013</v>
      </c>
      <c r="D621" s="1" t="s">
        <v>2797</v>
      </c>
      <c r="E621" s="1" t="s">
        <v>10017</v>
      </c>
      <c r="F621" s="1" t="s">
        <v>7542</v>
      </c>
      <c r="G621" t="s">
        <v>10018</v>
      </c>
      <c r="H621">
        <v>409812</v>
      </c>
      <c r="I621" s="1" t="s">
        <v>10019</v>
      </c>
      <c r="J621" s="44" t="s">
        <v>10019</v>
      </c>
      <c r="K621" s="44" t="s">
        <v>851</v>
      </c>
      <c r="L621" s="1" t="s">
        <v>5849</v>
      </c>
      <c r="M621" s="1" t="s">
        <v>5590</v>
      </c>
      <c r="N621" s="1" t="s">
        <v>8085</v>
      </c>
    </row>
    <row r="622" spans="1:14">
      <c r="A622" s="1" t="s">
        <v>2616</v>
      </c>
      <c r="B622" s="1" t="s">
        <v>2617</v>
      </c>
      <c r="C622" s="1" t="s">
        <v>2618</v>
      </c>
      <c r="D622" s="1" t="s">
        <v>2801</v>
      </c>
      <c r="E622" s="1" t="s">
        <v>10020</v>
      </c>
      <c r="F622" s="1" t="s">
        <v>1034</v>
      </c>
      <c r="G622" t="s">
        <v>10021</v>
      </c>
      <c r="H622">
        <v>403564</v>
      </c>
      <c r="I622" s="1" t="s">
        <v>10022</v>
      </c>
      <c r="J622" s="44" t="s">
        <v>10022</v>
      </c>
      <c r="K622" s="44" t="s">
        <v>5398</v>
      </c>
      <c r="L622" s="1" t="s">
        <v>6535</v>
      </c>
      <c r="M622" s="1" t="s">
        <v>7152</v>
      </c>
      <c r="N622" s="1" t="s">
        <v>8085</v>
      </c>
    </row>
    <row r="623" spans="1:14">
      <c r="A623" s="1" t="s">
        <v>2537</v>
      </c>
      <c r="B623" s="1" t="s">
        <v>2538</v>
      </c>
      <c r="C623" s="1" t="s">
        <v>2539</v>
      </c>
      <c r="D623" s="1" t="s">
        <v>2806</v>
      </c>
      <c r="E623" s="1" t="s">
        <v>10023</v>
      </c>
      <c r="F623" s="1" t="s">
        <v>6302</v>
      </c>
      <c r="G623" t="s">
        <v>10024</v>
      </c>
      <c r="H623">
        <v>387060</v>
      </c>
      <c r="I623" s="1" t="s">
        <v>2541</v>
      </c>
      <c r="J623" s="44" t="s">
        <v>2541</v>
      </c>
      <c r="K623" s="44" t="s">
        <v>5001</v>
      </c>
      <c r="L623" s="1" t="s">
        <v>10025</v>
      </c>
      <c r="M623" s="1" t="s">
        <v>5905</v>
      </c>
      <c r="N623" s="1" t="s">
        <v>8152</v>
      </c>
    </row>
    <row r="624" spans="1:14">
      <c r="A624" s="1" t="s">
        <v>1792</v>
      </c>
      <c r="B624" s="1" t="s">
        <v>1793</v>
      </c>
      <c r="C624" s="1" t="s">
        <v>1794</v>
      </c>
      <c r="D624" s="1" t="s">
        <v>2811</v>
      </c>
      <c r="E624" s="1" t="s">
        <v>10026</v>
      </c>
      <c r="F624" s="1" t="s">
        <v>5941</v>
      </c>
      <c r="G624" t="s">
        <v>10027</v>
      </c>
      <c r="H624">
        <v>379107</v>
      </c>
      <c r="I624" s="1" t="s">
        <v>6304</v>
      </c>
      <c r="J624" s="44" t="s">
        <v>6304</v>
      </c>
      <c r="K624" s="44" t="s">
        <v>5067</v>
      </c>
      <c r="L624" s="1" t="s">
        <v>5785</v>
      </c>
      <c r="M624" s="1" t="s">
        <v>7159</v>
      </c>
      <c r="N624" s="1" t="s">
        <v>8074</v>
      </c>
    </row>
    <row r="625" spans="1:14">
      <c r="A625" s="1" t="s">
        <v>2625</v>
      </c>
      <c r="B625" s="1" t="s">
        <v>2626</v>
      </c>
      <c r="C625" s="1" t="s">
        <v>2627</v>
      </c>
      <c r="D625" s="1" t="s">
        <v>2816</v>
      </c>
      <c r="E625" s="1" t="s">
        <v>10028</v>
      </c>
      <c r="F625" s="1" t="s">
        <v>5653</v>
      </c>
      <c r="G625" t="s">
        <v>10029</v>
      </c>
      <c r="H625">
        <v>371727</v>
      </c>
      <c r="I625" s="1" t="s">
        <v>5151</v>
      </c>
      <c r="J625" s="44" t="s">
        <v>5151</v>
      </c>
      <c r="K625" s="44" t="s">
        <v>6277</v>
      </c>
      <c r="L625" s="1" t="s">
        <v>10030</v>
      </c>
      <c r="M625" s="1" t="s">
        <v>6936</v>
      </c>
      <c r="N625" s="1" t="s">
        <v>8107</v>
      </c>
    </row>
    <row r="626" spans="1:14">
      <c r="A626" s="1" t="s">
        <v>2456</v>
      </c>
      <c r="B626" s="1" t="s">
        <v>2457</v>
      </c>
      <c r="C626" s="1" t="s">
        <v>2458</v>
      </c>
      <c r="D626" s="1" t="s">
        <v>2820</v>
      </c>
      <c r="E626" s="1" t="s">
        <v>10031</v>
      </c>
      <c r="F626" s="1" t="s">
        <v>6305</v>
      </c>
      <c r="G626" t="s">
        <v>10032</v>
      </c>
      <c r="H626">
        <v>362286</v>
      </c>
      <c r="I626" s="1" t="s">
        <v>2460</v>
      </c>
      <c r="J626" s="44" t="s">
        <v>2460</v>
      </c>
      <c r="K626" s="44" t="s">
        <v>5067</v>
      </c>
      <c r="L626" s="1" t="s">
        <v>7706</v>
      </c>
      <c r="M626" s="1" t="s">
        <v>6474</v>
      </c>
      <c r="N626" s="1" t="s">
        <v>8074</v>
      </c>
    </row>
    <row r="627" spans="1:14">
      <c r="A627" s="1" t="s">
        <v>2587</v>
      </c>
      <c r="B627" s="1" t="s">
        <v>2588</v>
      </c>
      <c r="C627" s="1" t="s">
        <v>2589</v>
      </c>
      <c r="D627" s="1" t="s">
        <v>2824</v>
      </c>
      <c r="E627" s="1" t="s">
        <v>10033</v>
      </c>
      <c r="F627" s="1" t="s">
        <v>2220</v>
      </c>
      <c r="G627" t="s">
        <v>10034</v>
      </c>
      <c r="H627">
        <v>354347</v>
      </c>
      <c r="I627" s="1" t="s">
        <v>10035</v>
      </c>
      <c r="J627" s="44" t="s">
        <v>10035</v>
      </c>
      <c r="K627" s="44" t="s">
        <v>6119</v>
      </c>
      <c r="L627" s="1" t="s">
        <v>7078</v>
      </c>
      <c r="M627" s="1" t="s">
        <v>7284</v>
      </c>
      <c r="N627" s="1" t="s">
        <v>8090</v>
      </c>
    </row>
    <row r="628" spans="1:14">
      <c r="A628" s="1" t="s">
        <v>2695</v>
      </c>
      <c r="B628" s="1" t="s">
        <v>2696</v>
      </c>
      <c r="C628" s="1" t="s">
        <v>2697</v>
      </c>
      <c r="D628" s="1" t="s">
        <v>2829</v>
      </c>
      <c r="E628" s="1" t="s">
        <v>10036</v>
      </c>
      <c r="F628" s="1" t="s">
        <v>5847</v>
      </c>
      <c r="G628" t="s">
        <v>10037</v>
      </c>
      <c r="H628">
        <v>353495</v>
      </c>
      <c r="I628" s="1" t="s">
        <v>7544</v>
      </c>
      <c r="J628" s="44" t="s">
        <v>7544</v>
      </c>
      <c r="K628" s="44" t="s">
        <v>5067</v>
      </c>
      <c r="L628" s="1" t="s">
        <v>6230</v>
      </c>
      <c r="M628" s="1" t="s">
        <v>10038</v>
      </c>
      <c r="N628" s="1" t="s">
        <v>8152</v>
      </c>
    </row>
    <row r="629" spans="1:14">
      <c r="A629" s="1" t="s">
        <v>2620</v>
      </c>
      <c r="B629" s="1" t="s">
        <v>2621</v>
      </c>
      <c r="C629" s="1" t="s">
        <v>2622</v>
      </c>
      <c r="D629" s="1" t="s">
        <v>2833</v>
      </c>
      <c r="E629" s="1" t="s">
        <v>10039</v>
      </c>
      <c r="F629" s="1" t="s">
        <v>6746</v>
      </c>
      <c r="G629" t="s">
        <v>10040</v>
      </c>
      <c r="H629">
        <v>341426</v>
      </c>
      <c r="I629" s="1" t="s">
        <v>2624</v>
      </c>
      <c r="J629" s="44" t="s">
        <v>2624</v>
      </c>
      <c r="K629" s="44" t="s">
        <v>5001</v>
      </c>
      <c r="L629" s="1" t="s">
        <v>6777</v>
      </c>
      <c r="M629" s="1" t="s">
        <v>7818</v>
      </c>
      <c r="N629" s="1" t="s">
        <v>8112</v>
      </c>
    </row>
    <row r="630" spans="1:14">
      <c r="A630" s="1" t="s">
        <v>2488</v>
      </c>
      <c r="B630" s="1" t="s">
        <v>2489</v>
      </c>
      <c r="C630" s="1" t="s">
        <v>2490</v>
      </c>
      <c r="D630" s="1" t="s">
        <v>2838</v>
      </c>
      <c r="E630" s="1" t="s">
        <v>10041</v>
      </c>
      <c r="F630" s="1" t="s">
        <v>4910</v>
      </c>
      <c r="G630" t="s">
        <v>10042</v>
      </c>
      <c r="H630">
        <v>341246</v>
      </c>
      <c r="I630" s="1" t="s">
        <v>6256</v>
      </c>
      <c r="J630" s="44" t="s">
        <v>6256</v>
      </c>
      <c r="K630" s="44" t="s">
        <v>5083</v>
      </c>
      <c r="L630" s="1" t="s">
        <v>10043</v>
      </c>
      <c r="M630" s="1" t="s">
        <v>10044</v>
      </c>
      <c r="N630" s="1" t="s">
        <v>8070</v>
      </c>
    </row>
    <row r="631" spans="1:14">
      <c r="A631" s="1" t="s">
        <v>2532</v>
      </c>
      <c r="B631" s="1" t="s">
        <v>2533</v>
      </c>
      <c r="C631" s="1" t="s">
        <v>2534</v>
      </c>
      <c r="D631" s="1" t="s">
        <v>2842</v>
      </c>
      <c r="E631" s="1" t="s">
        <v>10045</v>
      </c>
      <c r="F631" s="1" t="s">
        <v>6307</v>
      </c>
      <c r="G631" t="s">
        <v>10046</v>
      </c>
      <c r="H631">
        <v>336652</v>
      </c>
      <c r="I631" s="1" t="s">
        <v>2536</v>
      </c>
      <c r="J631" s="44" t="s">
        <v>2536</v>
      </c>
      <c r="K631" s="44" t="s">
        <v>5001</v>
      </c>
      <c r="L631" s="1"/>
      <c r="M631" s="1" t="s">
        <v>6603</v>
      </c>
      <c r="N631" s="1" t="s">
        <v>8152</v>
      </c>
    </row>
    <row r="632" spans="1:14">
      <c r="A632" s="1" t="s">
        <v>2500</v>
      </c>
      <c r="B632" s="1" t="s">
        <v>2501</v>
      </c>
      <c r="C632" s="1" t="s">
        <v>2502</v>
      </c>
      <c r="D632" s="1" t="s">
        <v>2846</v>
      </c>
      <c r="E632" s="1" t="s">
        <v>10047</v>
      </c>
      <c r="F632" s="1" t="s">
        <v>5942</v>
      </c>
      <c r="G632" t="s">
        <v>10048</v>
      </c>
      <c r="H632">
        <v>333978</v>
      </c>
      <c r="I632" s="1" t="s">
        <v>2504</v>
      </c>
      <c r="J632" s="44" t="s">
        <v>230</v>
      </c>
      <c r="K632" s="44" t="s">
        <v>5067</v>
      </c>
      <c r="L632" s="1" t="s">
        <v>6501</v>
      </c>
      <c r="M632" s="1" t="s">
        <v>10049</v>
      </c>
      <c r="N632" s="1" t="s">
        <v>8171</v>
      </c>
    </row>
    <row r="633" spans="1:14">
      <c r="A633" s="1" t="s">
        <v>2686</v>
      </c>
      <c r="B633" s="1" t="s">
        <v>2687</v>
      </c>
      <c r="C633" s="1" t="s">
        <v>2688</v>
      </c>
      <c r="D633" s="1" t="s">
        <v>2850</v>
      </c>
      <c r="E633" s="1" t="s">
        <v>10050</v>
      </c>
      <c r="F633" s="1" t="s">
        <v>6747</v>
      </c>
      <c r="G633" t="s">
        <v>10051</v>
      </c>
      <c r="H633">
        <v>317583</v>
      </c>
      <c r="I633" s="1" t="s">
        <v>10052</v>
      </c>
      <c r="J633" s="44" t="s">
        <v>10052</v>
      </c>
      <c r="K633" s="44" t="s">
        <v>4998</v>
      </c>
      <c r="L633" s="1" t="s">
        <v>10053</v>
      </c>
      <c r="M633" s="1" t="s">
        <v>7867</v>
      </c>
      <c r="N633" s="1" t="s">
        <v>8090</v>
      </c>
    </row>
    <row r="634" spans="1:14">
      <c r="A634" s="1" t="s">
        <v>2542</v>
      </c>
      <c r="B634" s="1" t="s">
        <v>2543</v>
      </c>
      <c r="C634" s="1" t="s">
        <v>2544</v>
      </c>
      <c r="D634" s="1" t="s">
        <v>2854</v>
      </c>
      <c r="E634" s="1" t="s">
        <v>10054</v>
      </c>
      <c r="F634" s="1" t="s">
        <v>6748</v>
      </c>
      <c r="G634" t="s">
        <v>10055</v>
      </c>
      <c r="H634">
        <v>317523</v>
      </c>
      <c r="I634" s="1" t="s">
        <v>10056</v>
      </c>
      <c r="J634" s="44" t="s">
        <v>10056</v>
      </c>
      <c r="K634" s="44" t="s">
        <v>5067</v>
      </c>
      <c r="L634" s="1" t="s">
        <v>7590</v>
      </c>
      <c r="M634" s="1" t="s">
        <v>6939</v>
      </c>
      <c r="N634" s="1" t="s">
        <v>8074</v>
      </c>
    </row>
    <row r="635" spans="1:14">
      <c r="A635" s="1" t="s">
        <v>5152</v>
      </c>
      <c r="B635" s="1" t="s">
        <v>5153</v>
      </c>
      <c r="C635" s="1" t="s">
        <v>5154</v>
      </c>
      <c r="D635" s="1" t="s">
        <v>2858</v>
      </c>
      <c r="E635" s="1" t="s">
        <v>10057</v>
      </c>
      <c r="F635" s="1" t="s">
        <v>5414</v>
      </c>
      <c r="G635" t="s">
        <v>10058</v>
      </c>
      <c r="H635">
        <v>313561</v>
      </c>
      <c r="I635" s="1" t="s">
        <v>5155</v>
      </c>
      <c r="J635" s="44" t="s">
        <v>5155</v>
      </c>
      <c r="K635" s="44" t="s">
        <v>5067</v>
      </c>
      <c r="L635" s="1" t="s">
        <v>7088</v>
      </c>
      <c r="M635" s="1" t="s">
        <v>5112</v>
      </c>
      <c r="N635" s="1" t="s">
        <v>8074</v>
      </c>
    </row>
    <row r="636" spans="1:14">
      <c r="A636" s="1" t="s">
        <v>1520</v>
      </c>
      <c r="B636" s="1" t="s">
        <v>1521</v>
      </c>
      <c r="C636" s="1" t="s">
        <v>1522</v>
      </c>
      <c r="D636" s="1" t="s">
        <v>2863</v>
      </c>
      <c r="E636" s="1" t="s">
        <v>10059</v>
      </c>
      <c r="F636" s="1" t="s">
        <v>5944</v>
      </c>
      <c r="G636" t="s">
        <v>10060</v>
      </c>
      <c r="H636">
        <v>302519</v>
      </c>
      <c r="I636" s="1" t="s">
        <v>5945</v>
      </c>
      <c r="J636" s="44" t="s">
        <v>5945</v>
      </c>
      <c r="K636" s="44" t="s">
        <v>5001</v>
      </c>
      <c r="L636" s="1" t="s">
        <v>5569</v>
      </c>
      <c r="M636" s="1" t="s">
        <v>10061</v>
      </c>
      <c r="N636" s="1" t="s">
        <v>8483</v>
      </c>
    </row>
    <row r="637" spans="1:14">
      <c r="A637" s="1" t="s">
        <v>2510</v>
      </c>
      <c r="B637" s="1" t="s">
        <v>2511</v>
      </c>
      <c r="C637" s="1" t="s">
        <v>2512</v>
      </c>
      <c r="D637" s="1" t="s">
        <v>2867</v>
      </c>
      <c r="E637" s="1" t="s">
        <v>10062</v>
      </c>
      <c r="F637" s="1" t="s">
        <v>2591</v>
      </c>
      <c r="G637" t="s">
        <v>10063</v>
      </c>
      <c r="H637">
        <v>301793</v>
      </c>
      <c r="I637" s="1" t="s">
        <v>10064</v>
      </c>
      <c r="J637" s="44" t="s">
        <v>10064</v>
      </c>
      <c r="K637" s="44" t="s">
        <v>5049</v>
      </c>
      <c r="L637" s="1" t="s">
        <v>10065</v>
      </c>
      <c r="M637" s="1" t="s">
        <v>10066</v>
      </c>
      <c r="N637" s="1" t="s">
        <v>8102</v>
      </c>
    </row>
    <row r="638" spans="1:14">
      <c r="A638" s="1" t="s">
        <v>2878</v>
      </c>
      <c r="B638" s="1" t="s">
        <v>2879</v>
      </c>
      <c r="C638" s="1" t="s">
        <v>2880</v>
      </c>
      <c r="D638" s="1" t="s">
        <v>2873</v>
      </c>
      <c r="E638" s="1" t="s">
        <v>10067</v>
      </c>
      <c r="F638" s="1" t="s">
        <v>6309</v>
      </c>
      <c r="G638" t="s">
        <v>10068</v>
      </c>
      <c r="H638">
        <v>300840</v>
      </c>
      <c r="I638" s="1" t="s">
        <v>6310</v>
      </c>
      <c r="J638" s="44" t="s">
        <v>6310</v>
      </c>
      <c r="K638" s="44" t="s">
        <v>5067</v>
      </c>
      <c r="L638" s="1" t="s">
        <v>7673</v>
      </c>
      <c r="M638" s="1" t="s">
        <v>7549</v>
      </c>
      <c r="N638" s="1" t="s">
        <v>8102</v>
      </c>
    </row>
    <row r="639" spans="1:14">
      <c r="A639" s="1" t="s">
        <v>2599</v>
      </c>
      <c r="B639" s="1" t="s">
        <v>2600</v>
      </c>
      <c r="C639" s="1" t="s">
        <v>2601</v>
      </c>
      <c r="D639" s="1" t="s">
        <v>2877</v>
      </c>
      <c r="E639" s="1" t="s">
        <v>9962</v>
      </c>
      <c r="F639" s="1" t="s">
        <v>5940</v>
      </c>
      <c r="G639" t="s">
        <v>10069</v>
      </c>
      <c r="H639">
        <v>282880</v>
      </c>
      <c r="I639" s="1" t="s">
        <v>7645</v>
      </c>
      <c r="J639" s="44" t="s">
        <v>7645</v>
      </c>
      <c r="K639" s="44" t="s">
        <v>5001</v>
      </c>
      <c r="L639" s="1" t="s">
        <v>7497</v>
      </c>
      <c r="M639" s="1" t="s">
        <v>6691</v>
      </c>
      <c r="N639" s="1" t="s">
        <v>8396</v>
      </c>
    </row>
    <row r="640" spans="1:14">
      <c r="A640" s="1" t="s">
        <v>2562</v>
      </c>
      <c r="B640" s="1" t="s">
        <v>2563</v>
      </c>
      <c r="C640" s="1" t="s">
        <v>2564</v>
      </c>
      <c r="D640" s="1" t="s">
        <v>2881</v>
      </c>
      <c r="E640" s="1" t="s">
        <v>10070</v>
      </c>
      <c r="F640" s="1" t="s">
        <v>7546</v>
      </c>
      <c r="G640" t="s">
        <v>10071</v>
      </c>
      <c r="H640">
        <v>278587</v>
      </c>
      <c r="I640" s="1" t="s">
        <v>2566</v>
      </c>
      <c r="J640" s="44" t="s">
        <v>2566</v>
      </c>
      <c r="K640" s="44" t="s">
        <v>5843</v>
      </c>
      <c r="L640" s="1" t="s">
        <v>10072</v>
      </c>
      <c r="M640" s="1" t="s">
        <v>7019</v>
      </c>
      <c r="N640" s="1" t="s">
        <v>8396</v>
      </c>
    </row>
    <row r="641" spans="1:14">
      <c r="A641" s="1" t="s">
        <v>2042</v>
      </c>
      <c r="B641" s="1" t="s">
        <v>2043</v>
      </c>
      <c r="C641" s="1" t="s">
        <v>2044</v>
      </c>
      <c r="D641" s="1" t="s">
        <v>2885</v>
      </c>
      <c r="E641" s="1" t="s">
        <v>10073</v>
      </c>
      <c r="F641" s="1" t="s">
        <v>6312</v>
      </c>
      <c r="G641" t="s">
        <v>10074</v>
      </c>
      <c r="H641">
        <v>276506</v>
      </c>
      <c r="I641" s="1" t="s">
        <v>2046</v>
      </c>
      <c r="J641" s="44" t="s">
        <v>53</v>
      </c>
      <c r="K641" s="44" t="s">
        <v>5067</v>
      </c>
      <c r="L641" s="1" t="s">
        <v>10075</v>
      </c>
      <c r="M641" s="1" t="s">
        <v>7702</v>
      </c>
      <c r="N641" s="1" t="s">
        <v>8102</v>
      </c>
    </row>
    <row r="642" spans="1:14">
      <c r="A642" s="1" t="s">
        <v>2690</v>
      </c>
      <c r="B642" s="1" t="s">
        <v>2691</v>
      </c>
      <c r="C642" s="1" t="s">
        <v>2692</v>
      </c>
      <c r="D642" s="1" t="s">
        <v>2889</v>
      </c>
      <c r="E642" s="1" t="s">
        <v>10076</v>
      </c>
      <c r="F642" s="1" t="s">
        <v>5715</v>
      </c>
      <c r="G642" t="s">
        <v>10077</v>
      </c>
      <c r="H642">
        <v>264183</v>
      </c>
      <c r="I642" s="1" t="s">
        <v>2694</v>
      </c>
      <c r="J642" s="44" t="s">
        <v>2694</v>
      </c>
      <c r="K642" s="44" t="s">
        <v>5067</v>
      </c>
      <c r="L642" s="1" t="s">
        <v>5102</v>
      </c>
      <c r="M642" s="1" t="s">
        <v>10078</v>
      </c>
      <c r="N642" s="1" t="s">
        <v>8070</v>
      </c>
    </row>
    <row r="643" spans="1:14">
      <c r="A643" s="1" t="s">
        <v>2425</v>
      </c>
      <c r="B643" s="1" t="s">
        <v>2426</v>
      </c>
      <c r="C643" s="1" t="s">
        <v>2427</v>
      </c>
      <c r="D643" s="1" t="s">
        <v>2894</v>
      </c>
      <c r="E643" s="1" t="s">
        <v>10079</v>
      </c>
      <c r="F643" s="1" t="s">
        <v>10080</v>
      </c>
      <c r="G643" t="s">
        <v>10081</v>
      </c>
      <c r="H643">
        <v>254678</v>
      </c>
      <c r="I643" s="1" t="s">
        <v>199</v>
      </c>
      <c r="J643" s="44" t="s">
        <v>199</v>
      </c>
      <c r="K643" s="44" t="s">
        <v>5544</v>
      </c>
      <c r="L643" s="1" t="s">
        <v>6956</v>
      </c>
      <c r="M643" s="1" t="s">
        <v>10082</v>
      </c>
      <c r="N643" s="1" t="s">
        <v>8162</v>
      </c>
    </row>
    <row r="644" spans="1:14">
      <c r="A644" s="1" t="s">
        <v>1981</v>
      </c>
      <c r="B644" s="1" t="s">
        <v>1982</v>
      </c>
      <c r="C644" s="1" t="s">
        <v>1983</v>
      </c>
      <c r="D644" s="1" t="s">
        <v>2896</v>
      </c>
      <c r="E644" s="1" t="s">
        <v>6314</v>
      </c>
      <c r="F644" s="1" t="s">
        <v>5817</v>
      </c>
      <c r="H644">
        <v>249870</v>
      </c>
      <c r="I644" s="1" t="s">
        <v>6315</v>
      </c>
      <c r="J644" s="44" t="s">
        <v>6315</v>
      </c>
      <c r="K644" s="44"/>
      <c r="L644" s="1" t="s">
        <v>6352</v>
      </c>
      <c r="M644" s="1" t="s">
        <v>10083</v>
      </c>
      <c r="N644" s="1" t="s">
        <v>6316</v>
      </c>
    </row>
    <row r="645" spans="1:14">
      <c r="A645" s="1" t="s">
        <v>2505</v>
      </c>
      <c r="B645" s="1" t="s">
        <v>2506</v>
      </c>
      <c r="C645" s="1" t="s">
        <v>2507</v>
      </c>
      <c r="D645" s="1" t="s">
        <v>2900</v>
      </c>
      <c r="E645" s="1" t="s">
        <v>10084</v>
      </c>
      <c r="F645" s="1" t="s">
        <v>10085</v>
      </c>
      <c r="G645" t="s">
        <v>10086</v>
      </c>
      <c r="H645">
        <v>239240</v>
      </c>
      <c r="I645" s="1" t="s">
        <v>2509</v>
      </c>
      <c r="J645" s="44" t="s">
        <v>54</v>
      </c>
      <c r="K645" s="44" t="s">
        <v>6119</v>
      </c>
      <c r="L645" s="1" t="s">
        <v>10087</v>
      </c>
      <c r="M645" s="1" t="s">
        <v>7272</v>
      </c>
      <c r="N645" s="1" t="s">
        <v>8186</v>
      </c>
    </row>
    <row r="646" spans="1:14">
      <c r="A646" s="1" t="s">
        <v>1788</v>
      </c>
      <c r="B646" s="1" t="s">
        <v>1789</v>
      </c>
      <c r="C646" s="1" t="s">
        <v>1790</v>
      </c>
      <c r="D646" s="1" t="s">
        <v>2905</v>
      </c>
      <c r="E646" s="1" t="s">
        <v>5300</v>
      </c>
      <c r="F646" s="1" t="s">
        <v>5234</v>
      </c>
      <c r="H646">
        <v>234491</v>
      </c>
      <c r="I646" s="1" t="s">
        <v>5015</v>
      </c>
      <c r="J646" s="44" t="s">
        <v>5016</v>
      </c>
      <c r="K646" s="44"/>
      <c r="L646" s="1"/>
      <c r="M646" s="1" t="s">
        <v>5522</v>
      </c>
      <c r="N646" s="1" t="s">
        <v>5301</v>
      </c>
    </row>
    <row r="647" spans="1:14">
      <c r="A647" s="1" t="s">
        <v>2882</v>
      </c>
      <c r="B647" s="1" t="s">
        <v>2883</v>
      </c>
      <c r="C647" s="1" t="s">
        <v>2884</v>
      </c>
      <c r="D647" s="1" t="s">
        <v>2909</v>
      </c>
      <c r="E647" s="1" t="s">
        <v>10088</v>
      </c>
      <c r="F647" s="1" t="s">
        <v>10089</v>
      </c>
      <c r="G647" t="s">
        <v>10090</v>
      </c>
      <c r="H647">
        <v>231530</v>
      </c>
      <c r="I647" s="1" t="s">
        <v>6320</v>
      </c>
      <c r="J647" s="44" t="s">
        <v>6320</v>
      </c>
      <c r="K647" s="44" t="s">
        <v>6620</v>
      </c>
      <c r="L647" s="1" t="s">
        <v>8004</v>
      </c>
      <c r="M647" s="1" t="s">
        <v>10091</v>
      </c>
      <c r="N647" s="1" t="s">
        <v>8070</v>
      </c>
    </row>
    <row r="648" spans="1:14">
      <c r="A648" s="1" t="s">
        <v>2612</v>
      </c>
      <c r="B648" s="1" t="s">
        <v>2613</v>
      </c>
      <c r="C648" s="1" t="s">
        <v>2613</v>
      </c>
      <c r="D648" s="1" t="s">
        <v>2915</v>
      </c>
      <c r="E648" s="1" t="s">
        <v>6317</v>
      </c>
      <c r="F648" s="1" t="s">
        <v>5948</v>
      </c>
      <c r="H648">
        <v>231179</v>
      </c>
      <c r="I648" s="1" t="s">
        <v>2615</v>
      </c>
      <c r="J648" s="44" t="s">
        <v>2615</v>
      </c>
      <c r="K648" s="44"/>
      <c r="L648" s="1" t="s">
        <v>5931</v>
      </c>
      <c r="M648" s="1" t="s">
        <v>7866</v>
      </c>
      <c r="N648" s="1" t="s">
        <v>6318</v>
      </c>
    </row>
    <row r="649" spans="1:14">
      <c r="A649" s="1" t="s">
        <v>2552</v>
      </c>
      <c r="B649" s="1" t="s">
        <v>2553</v>
      </c>
      <c r="C649" s="1" t="s">
        <v>2554</v>
      </c>
      <c r="D649" s="1" t="s">
        <v>2920</v>
      </c>
      <c r="E649" s="1" t="s">
        <v>10092</v>
      </c>
      <c r="F649" s="1" t="s">
        <v>7419</v>
      </c>
      <c r="G649" t="s">
        <v>7864</v>
      </c>
      <c r="H649">
        <v>230879</v>
      </c>
      <c r="I649" s="1" t="s">
        <v>2556</v>
      </c>
      <c r="J649" s="44" t="s">
        <v>2556</v>
      </c>
      <c r="K649" s="44" t="s">
        <v>7865</v>
      </c>
      <c r="L649" s="1" t="s">
        <v>7485</v>
      </c>
      <c r="M649" s="1" t="s">
        <v>8007</v>
      </c>
      <c r="N649" s="1" t="s">
        <v>8107</v>
      </c>
    </row>
    <row r="650" spans="1:14">
      <c r="A650" s="1" t="s">
        <v>2703</v>
      </c>
      <c r="B650" s="1" t="s">
        <v>2704</v>
      </c>
      <c r="C650" s="1" t="s">
        <v>2705</v>
      </c>
      <c r="D650" s="1" t="s">
        <v>2923</v>
      </c>
      <c r="E650" s="1" t="s">
        <v>10093</v>
      </c>
      <c r="F650" s="1" t="s">
        <v>6650</v>
      </c>
      <c r="G650" t="s">
        <v>10094</v>
      </c>
      <c r="H650">
        <v>230438</v>
      </c>
      <c r="I650" s="1" t="s">
        <v>7548</v>
      </c>
      <c r="J650" s="44" t="s">
        <v>7548</v>
      </c>
      <c r="K650" s="44" t="s">
        <v>5067</v>
      </c>
      <c r="L650" s="1" t="s">
        <v>10095</v>
      </c>
      <c r="M650" s="1"/>
      <c r="N650" s="1" t="s">
        <v>8090</v>
      </c>
    </row>
    <row r="651" spans="1:14">
      <c r="A651" s="1" t="s">
        <v>2006</v>
      </c>
      <c r="B651" s="1" t="s">
        <v>2007</v>
      </c>
      <c r="C651" s="1" t="s">
        <v>2008</v>
      </c>
      <c r="D651" s="1" t="s">
        <v>2927</v>
      </c>
      <c r="E651" s="1" t="s">
        <v>10096</v>
      </c>
      <c r="F651" s="1" t="s">
        <v>7584</v>
      </c>
      <c r="G651" t="s">
        <v>10097</v>
      </c>
      <c r="H651">
        <v>230301</v>
      </c>
      <c r="I651" s="1" t="s">
        <v>2010</v>
      </c>
      <c r="J651" s="44" t="s">
        <v>1286</v>
      </c>
      <c r="K651" s="44" t="s">
        <v>5227</v>
      </c>
      <c r="L651" s="1" t="s">
        <v>7035</v>
      </c>
      <c r="M651" s="1" t="s">
        <v>7570</v>
      </c>
      <c r="N651" s="1" t="s">
        <v>8171</v>
      </c>
    </row>
    <row r="652" spans="1:14">
      <c r="A652" s="1" t="s">
        <v>2762</v>
      </c>
      <c r="B652" s="1" t="s">
        <v>2763</v>
      </c>
      <c r="C652" s="1" t="s">
        <v>2764</v>
      </c>
      <c r="D652" s="1" t="s">
        <v>2933</v>
      </c>
      <c r="E652" s="1" t="s">
        <v>10098</v>
      </c>
      <c r="F652" s="1" t="s">
        <v>6609</v>
      </c>
      <c r="G652" t="s">
        <v>10099</v>
      </c>
      <c r="H652">
        <v>219875</v>
      </c>
      <c r="I652" s="1" t="s">
        <v>2766</v>
      </c>
      <c r="J652" s="44" t="s">
        <v>2766</v>
      </c>
      <c r="K652" s="44" t="s">
        <v>5067</v>
      </c>
      <c r="L652" s="1" t="s">
        <v>10100</v>
      </c>
      <c r="M652" s="1" t="s">
        <v>7566</v>
      </c>
      <c r="N652" s="1" t="s">
        <v>8152</v>
      </c>
    </row>
    <row r="653" spans="1:14">
      <c r="A653" s="1" t="s">
        <v>2603</v>
      </c>
      <c r="B653" s="1" t="s">
        <v>2604</v>
      </c>
      <c r="C653" s="1" t="s">
        <v>2605</v>
      </c>
      <c r="D653" s="1" t="s">
        <v>2939</v>
      </c>
      <c r="E653" s="1" t="s">
        <v>10101</v>
      </c>
      <c r="F653" s="1" t="s">
        <v>2478</v>
      </c>
      <c r="G653" t="s">
        <v>10102</v>
      </c>
      <c r="H653">
        <v>216865</v>
      </c>
      <c r="I653" s="1" t="s">
        <v>7550</v>
      </c>
      <c r="J653" s="44" t="s">
        <v>7550</v>
      </c>
      <c r="K653" s="44" t="s">
        <v>6859</v>
      </c>
      <c r="L653" s="1" t="s">
        <v>6856</v>
      </c>
      <c r="M653" s="1" t="s">
        <v>10103</v>
      </c>
      <c r="N653" s="1" t="s">
        <v>8173</v>
      </c>
    </row>
    <row r="654" spans="1:14">
      <c r="A654" s="1" t="s">
        <v>2666</v>
      </c>
      <c r="B654" s="1" t="s">
        <v>2667</v>
      </c>
      <c r="C654" s="1" t="s">
        <v>2668</v>
      </c>
      <c r="D654" s="1" t="s">
        <v>2943</v>
      </c>
      <c r="E654" s="1" t="s">
        <v>10104</v>
      </c>
      <c r="F654" s="1" t="s">
        <v>5302</v>
      </c>
      <c r="G654" t="s">
        <v>10105</v>
      </c>
      <c r="H654">
        <v>212633</v>
      </c>
      <c r="I654" s="1" t="s">
        <v>2670</v>
      </c>
      <c r="J654" s="44" t="s">
        <v>2670</v>
      </c>
      <c r="K654" s="44" t="s">
        <v>5067</v>
      </c>
      <c r="L654" s="1"/>
      <c r="M654" s="1"/>
      <c r="N654" s="1" t="s">
        <v>8263</v>
      </c>
    </row>
    <row r="655" spans="1:14">
      <c r="A655" s="1" t="s">
        <v>2728</v>
      </c>
      <c r="B655" s="1" t="s">
        <v>2729</v>
      </c>
      <c r="C655" s="1" t="s">
        <v>2730</v>
      </c>
      <c r="D655" s="1" t="s">
        <v>2947</v>
      </c>
      <c r="E655" s="1" t="s">
        <v>10106</v>
      </c>
      <c r="F655" s="1" t="s">
        <v>2591</v>
      </c>
      <c r="G655" t="s">
        <v>10107</v>
      </c>
      <c r="H655">
        <v>210873</v>
      </c>
      <c r="I655" s="1" t="s">
        <v>2732</v>
      </c>
      <c r="J655" s="44" t="s">
        <v>2732</v>
      </c>
      <c r="K655" s="44" t="s">
        <v>5067</v>
      </c>
      <c r="L655" s="1" t="s">
        <v>7275</v>
      </c>
      <c r="M655" s="1" t="s">
        <v>7739</v>
      </c>
      <c r="N655" s="1" t="s">
        <v>8107</v>
      </c>
    </row>
    <row r="656" spans="1:14">
      <c r="A656" s="1" t="s">
        <v>4388</v>
      </c>
      <c r="B656" s="1" t="s">
        <v>4389</v>
      </c>
      <c r="C656" s="1" t="s">
        <v>4390</v>
      </c>
      <c r="D656" s="1" t="s">
        <v>2952</v>
      </c>
      <c r="E656" s="1" t="s">
        <v>5949</v>
      </c>
      <c r="F656" s="1" t="s">
        <v>5950</v>
      </c>
      <c r="H656">
        <v>205040</v>
      </c>
      <c r="I656" s="1" t="s">
        <v>5705</v>
      </c>
      <c r="J656" s="44" t="s">
        <v>5705</v>
      </c>
      <c r="K656" s="44"/>
      <c r="L656" s="1" t="s">
        <v>5088</v>
      </c>
      <c r="M656" s="1" t="s">
        <v>10108</v>
      </c>
      <c r="N656" s="1" t="s">
        <v>5951</v>
      </c>
    </row>
    <row r="657" spans="1:14">
      <c r="A657" s="1" t="s">
        <v>2057</v>
      </c>
      <c r="B657" s="1" t="s">
        <v>2058</v>
      </c>
      <c r="C657" s="1" t="s">
        <v>2059</v>
      </c>
      <c r="D657" s="1" t="s">
        <v>2956</v>
      </c>
      <c r="E657" s="1" t="s">
        <v>10109</v>
      </c>
      <c r="F657" s="1" t="s">
        <v>5284</v>
      </c>
      <c r="G657" t="s">
        <v>10110</v>
      </c>
      <c r="H657">
        <v>204696</v>
      </c>
      <c r="I657" s="1" t="s">
        <v>10111</v>
      </c>
      <c r="J657" s="44" t="s">
        <v>10112</v>
      </c>
      <c r="K657" s="44" t="s">
        <v>7237</v>
      </c>
      <c r="L657" s="1" t="s">
        <v>7017</v>
      </c>
      <c r="M657" s="1" t="s">
        <v>10113</v>
      </c>
      <c r="N657" s="1" t="s">
        <v>8186</v>
      </c>
    </row>
    <row r="658" spans="1:14">
      <c r="A658" s="1" t="s">
        <v>2557</v>
      </c>
      <c r="B658" s="1" t="s">
        <v>2558</v>
      </c>
      <c r="C658" s="1" t="s">
        <v>2559</v>
      </c>
      <c r="D658" s="1" t="s">
        <v>2961</v>
      </c>
      <c r="E658" s="1" t="s">
        <v>10114</v>
      </c>
      <c r="F658" s="1" t="s">
        <v>1321</v>
      </c>
      <c r="G658" t="s">
        <v>10115</v>
      </c>
      <c r="H658">
        <v>197895</v>
      </c>
      <c r="I658" s="1" t="s">
        <v>2561</v>
      </c>
      <c r="J658" s="44" t="s">
        <v>2561</v>
      </c>
      <c r="K658" s="44" t="s">
        <v>5067</v>
      </c>
      <c r="L658" s="1" t="s">
        <v>7038</v>
      </c>
      <c r="M658" s="1" t="s">
        <v>10116</v>
      </c>
      <c r="N658" s="1" t="s">
        <v>8137</v>
      </c>
    </row>
    <row r="659" spans="1:14">
      <c r="A659" s="1" t="s">
        <v>2492</v>
      </c>
      <c r="B659" s="1" t="s">
        <v>2493</v>
      </c>
      <c r="C659" s="1" t="s">
        <v>2494</v>
      </c>
      <c r="D659" s="1" t="s">
        <v>2966</v>
      </c>
      <c r="E659" s="1" t="s">
        <v>10117</v>
      </c>
      <c r="F659" s="1" t="s">
        <v>2802</v>
      </c>
      <c r="G659" t="s">
        <v>10118</v>
      </c>
      <c r="H659">
        <v>197327</v>
      </c>
      <c r="I659" s="1" t="s">
        <v>10119</v>
      </c>
      <c r="J659" s="44" t="s">
        <v>10119</v>
      </c>
      <c r="K659" s="44" t="s">
        <v>5001</v>
      </c>
      <c r="L659" s="1" t="s">
        <v>5050</v>
      </c>
      <c r="M659" s="1" t="s">
        <v>7361</v>
      </c>
      <c r="N659" s="1" t="s">
        <v>8152</v>
      </c>
    </row>
    <row r="660" spans="1:14">
      <c r="A660" s="1" t="s">
        <v>2772</v>
      </c>
      <c r="B660" s="1" t="s">
        <v>2773</v>
      </c>
      <c r="C660" s="1" t="s">
        <v>2774</v>
      </c>
      <c r="D660" s="1" t="s">
        <v>2970</v>
      </c>
      <c r="E660" s="1" t="s">
        <v>10120</v>
      </c>
      <c r="F660" s="1" t="s">
        <v>5115</v>
      </c>
      <c r="G660" t="s">
        <v>10121</v>
      </c>
      <c r="H660">
        <v>190894</v>
      </c>
      <c r="I660" s="1" t="s">
        <v>10122</v>
      </c>
      <c r="J660" s="44" t="s">
        <v>10122</v>
      </c>
      <c r="K660" s="44" t="s">
        <v>5001</v>
      </c>
      <c r="L660" s="1" t="s">
        <v>6663</v>
      </c>
      <c r="M660" s="1" t="s">
        <v>6954</v>
      </c>
      <c r="N660" s="1" t="s">
        <v>8090</v>
      </c>
    </row>
    <row r="661" spans="1:14">
      <c r="A661" s="1" t="s">
        <v>2870</v>
      </c>
      <c r="B661" s="1" t="s">
        <v>2871</v>
      </c>
      <c r="C661" s="1" t="s">
        <v>2872</v>
      </c>
      <c r="D661" s="1" t="s">
        <v>2974</v>
      </c>
      <c r="E661" s="1" t="s">
        <v>10123</v>
      </c>
      <c r="F661" s="1" t="s">
        <v>5967</v>
      </c>
      <c r="G661" t="s">
        <v>10124</v>
      </c>
      <c r="H661">
        <v>190391</v>
      </c>
      <c r="I661" s="1" t="s">
        <v>6321</v>
      </c>
      <c r="J661" s="44" t="s">
        <v>6321</v>
      </c>
      <c r="K661" s="44" t="s">
        <v>5001</v>
      </c>
      <c r="L661" s="1" t="s">
        <v>5143</v>
      </c>
      <c r="M661" s="1" t="s">
        <v>10125</v>
      </c>
      <c r="N661" s="1" t="s">
        <v>8107</v>
      </c>
    </row>
    <row r="662" spans="1:14">
      <c r="A662" s="1" t="s">
        <v>2752</v>
      </c>
      <c r="B662" s="1" t="s">
        <v>2753</v>
      </c>
      <c r="C662" s="1" t="s">
        <v>2754</v>
      </c>
      <c r="D662" s="1" t="s">
        <v>2978</v>
      </c>
      <c r="E662" s="1" t="s">
        <v>10126</v>
      </c>
      <c r="F662" s="1" t="s">
        <v>6402</v>
      </c>
      <c r="G662" t="s">
        <v>10127</v>
      </c>
      <c r="H662">
        <v>188959</v>
      </c>
      <c r="I662" s="1" t="s">
        <v>5706</v>
      </c>
      <c r="J662" s="44" t="s">
        <v>5706</v>
      </c>
      <c r="K662" s="44" t="s">
        <v>5640</v>
      </c>
      <c r="L662" s="1" t="s">
        <v>7871</v>
      </c>
      <c r="M662" s="1" t="s">
        <v>4998</v>
      </c>
      <c r="N662" s="1" t="s">
        <v>8152</v>
      </c>
    </row>
    <row r="663" spans="1:14">
      <c r="A663" s="1" t="s">
        <v>2821</v>
      </c>
      <c r="B663" s="1" t="s">
        <v>2822</v>
      </c>
      <c r="C663" s="1" t="s">
        <v>2823</v>
      </c>
      <c r="D663" s="1" t="s">
        <v>2980</v>
      </c>
      <c r="E663" s="1" t="s">
        <v>10128</v>
      </c>
      <c r="F663" s="1" t="s">
        <v>1158</v>
      </c>
      <c r="G663" t="s">
        <v>10129</v>
      </c>
      <c r="H663">
        <v>185675</v>
      </c>
      <c r="I663" s="1" t="s">
        <v>2825</v>
      </c>
      <c r="J663" s="44" t="s">
        <v>2825</v>
      </c>
      <c r="K663" s="44" t="s">
        <v>5067</v>
      </c>
      <c r="L663" s="1" t="s">
        <v>6324</v>
      </c>
      <c r="M663" s="1" t="s">
        <v>6239</v>
      </c>
      <c r="N663" s="1" t="s">
        <v>8173</v>
      </c>
    </row>
    <row r="664" spans="1:14">
      <c r="A664" s="1" t="s">
        <v>4140</v>
      </c>
      <c r="B664" s="1" t="s">
        <v>4141</v>
      </c>
      <c r="C664" s="1" t="s">
        <v>4142</v>
      </c>
      <c r="D664" s="1" t="s">
        <v>2984</v>
      </c>
      <c r="E664" s="1" t="s">
        <v>7437</v>
      </c>
      <c r="F664" s="1" t="s">
        <v>6059</v>
      </c>
      <c r="G664" t="s">
        <v>7438</v>
      </c>
      <c r="H664">
        <v>183424</v>
      </c>
      <c r="I664" s="1" t="s">
        <v>5074</v>
      </c>
      <c r="J664" s="44" t="s">
        <v>5074</v>
      </c>
      <c r="K664" s="44" t="s">
        <v>5844</v>
      </c>
      <c r="L664" s="1" t="s">
        <v>7172</v>
      </c>
      <c r="M664" s="1" t="s">
        <v>6313</v>
      </c>
      <c r="N664" s="1" t="s">
        <v>8171</v>
      </c>
    </row>
    <row r="665" spans="1:14">
      <c r="A665" s="1" t="s">
        <v>2583</v>
      </c>
      <c r="B665" s="1" t="s">
        <v>2584</v>
      </c>
      <c r="C665" s="1" t="s">
        <v>2585</v>
      </c>
      <c r="D665" s="1" t="s">
        <v>2989</v>
      </c>
      <c r="E665" s="1" t="s">
        <v>10130</v>
      </c>
      <c r="F665" s="1" t="s">
        <v>5606</v>
      </c>
      <c r="G665" t="s">
        <v>10131</v>
      </c>
      <c r="H665">
        <v>183316</v>
      </c>
      <c r="I665" s="1" t="s">
        <v>10132</v>
      </c>
      <c r="J665" s="44" t="s">
        <v>10132</v>
      </c>
      <c r="K665" s="44" t="s">
        <v>5049</v>
      </c>
      <c r="L665" s="1" t="s">
        <v>7909</v>
      </c>
      <c r="M665" s="1" t="s">
        <v>7005</v>
      </c>
      <c r="N665" s="1" t="s">
        <v>8090</v>
      </c>
    </row>
    <row r="666" spans="1:14">
      <c r="A666" s="1" t="s">
        <v>1924</v>
      </c>
      <c r="B666" s="1" t="s">
        <v>1925</v>
      </c>
      <c r="C666" s="1" t="s">
        <v>1926</v>
      </c>
      <c r="D666" s="1" t="s">
        <v>2994</v>
      </c>
      <c r="E666" s="1" t="s">
        <v>10133</v>
      </c>
      <c r="F666" s="1" t="s">
        <v>5017</v>
      </c>
      <c r="G666" t="s">
        <v>10134</v>
      </c>
      <c r="H666">
        <v>175753</v>
      </c>
      <c r="I666" s="1" t="s">
        <v>10135</v>
      </c>
      <c r="J666" s="44" t="s">
        <v>10135</v>
      </c>
      <c r="K666" s="44" t="s">
        <v>5061</v>
      </c>
      <c r="L666" s="1" t="s">
        <v>6502</v>
      </c>
      <c r="M666" s="1" t="s">
        <v>10136</v>
      </c>
      <c r="N666" s="1" t="s">
        <v>8173</v>
      </c>
    </row>
    <row r="667" spans="1:14">
      <c r="A667" s="1" t="s">
        <v>2756</v>
      </c>
      <c r="B667" s="1" t="s">
        <v>2757</v>
      </c>
      <c r="C667" s="1" t="s">
        <v>2758</v>
      </c>
      <c r="D667" s="1" t="s">
        <v>3000</v>
      </c>
      <c r="E667" s="1" t="s">
        <v>10137</v>
      </c>
      <c r="F667" s="1" t="s">
        <v>4985</v>
      </c>
      <c r="G667" t="s">
        <v>10138</v>
      </c>
      <c r="H667">
        <v>175334</v>
      </c>
      <c r="I667" s="1" t="s">
        <v>2761</v>
      </c>
      <c r="J667" s="44" t="s">
        <v>2761</v>
      </c>
      <c r="K667" s="44" t="s">
        <v>5067</v>
      </c>
      <c r="L667" s="1" t="s">
        <v>5241</v>
      </c>
      <c r="M667" s="1" t="s">
        <v>7829</v>
      </c>
      <c r="N667" s="1" t="s">
        <v>8098</v>
      </c>
    </row>
    <row r="668" spans="1:14">
      <c r="A668" s="1" t="s">
        <v>2785</v>
      </c>
      <c r="B668" s="1" t="s">
        <v>2786</v>
      </c>
      <c r="C668" s="1" t="s">
        <v>2787</v>
      </c>
      <c r="D668" s="1" t="s">
        <v>3004</v>
      </c>
      <c r="E668" s="1" t="s">
        <v>9978</v>
      </c>
      <c r="F668" s="1" t="s">
        <v>1709</v>
      </c>
      <c r="G668" t="s">
        <v>10139</v>
      </c>
      <c r="H668">
        <v>172543</v>
      </c>
      <c r="I668" s="1" t="s">
        <v>10140</v>
      </c>
      <c r="J668" s="44" t="s">
        <v>10141</v>
      </c>
      <c r="K668" s="44" t="s">
        <v>5067</v>
      </c>
      <c r="L668" s="1"/>
      <c r="M668" s="1" t="s">
        <v>6644</v>
      </c>
      <c r="N668" s="1" t="s">
        <v>8070</v>
      </c>
    </row>
    <row r="669" spans="1:14">
      <c r="A669" s="1" t="s">
        <v>1440</v>
      </c>
      <c r="B669" s="1" t="s">
        <v>1441</v>
      </c>
      <c r="C669" s="1" t="s">
        <v>179</v>
      </c>
      <c r="D669" s="1" t="s">
        <v>3008</v>
      </c>
      <c r="E669" s="1" t="s">
        <v>10142</v>
      </c>
      <c r="F669" s="1" t="s">
        <v>5512</v>
      </c>
      <c r="G669" t="s">
        <v>10143</v>
      </c>
      <c r="H669">
        <v>171582</v>
      </c>
      <c r="I669" s="1" t="s">
        <v>10144</v>
      </c>
      <c r="J669" s="44" t="s">
        <v>10144</v>
      </c>
      <c r="K669" s="44" t="s">
        <v>5067</v>
      </c>
      <c r="L669" s="1" t="s">
        <v>6034</v>
      </c>
      <c r="M669" s="1" t="s">
        <v>6671</v>
      </c>
      <c r="N669" s="1" t="s">
        <v>8085</v>
      </c>
    </row>
    <row r="670" spans="1:14">
      <c r="A670" s="1" t="s">
        <v>2130</v>
      </c>
      <c r="B670" s="1" t="s">
        <v>2131</v>
      </c>
      <c r="C670" s="1" t="s">
        <v>2132</v>
      </c>
      <c r="D670" s="1" t="s">
        <v>3012</v>
      </c>
      <c r="E670" s="1" t="s">
        <v>10145</v>
      </c>
      <c r="F670" s="1" t="s">
        <v>6231</v>
      </c>
      <c r="G670" t="s">
        <v>10146</v>
      </c>
      <c r="H670">
        <v>169376</v>
      </c>
      <c r="I670" s="1" t="s">
        <v>10147</v>
      </c>
      <c r="J670" s="44" t="s">
        <v>10147</v>
      </c>
      <c r="K670" s="44" t="s">
        <v>5067</v>
      </c>
      <c r="L670" s="1" t="s">
        <v>10148</v>
      </c>
      <c r="M670" s="1" t="s">
        <v>7686</v>
      </c>
      <c r="N670" s="1" t="s">
        <v>8065</v>
      </c>
    </row>
    <row r="671" spans="1:14">
      <c r="A671" s="1" t="s">
        <v>2722</v>
      </c>
      <c r="B671" s="1" t="s">
        <v>2723</v>
      </c>
      <c r="C671" s="1" t="s">
        <v>2724</v>
      </c>
      <c r="D671" s="1" t="s">
        <v>3016</v>
      </c>
      <c r="E671" s="1" t="s">
        <v>10149</v>
      </c>
      <c r="F671" s="1" t="s">
        <v>5918</v>
      </c>
      <c r="G671" t="s">
        <v>10150</v>
      </c>
      <c r="H671">
        <v>167697</v>
      </c>
      <c r="I671" s="1" t="s">
        <v>2726</v>
      </c>
      <c r="J671" s="44" t="s">
        <v>2727</v>
      </c>
      <c r="K671" s="44" t="s">
        <v>5067</v>
      </c>
      <c r="L671" s="1" t="s">
        <v>5398</v>
      </c>
      <c r="M671" s="1" t="s">
        <v>5781</v>
      </c>
      <c r="N671" s="1" t="s">
        <v>8080</v>
      </c>
    </row>
    <row r="672" spans="1:14">
      <c r="A672" s="1" t="s">
        <v>2712</v>
      </c>
      <c r="B672" s="1" t="s">
        <v>2713</v>
      </c>
      <c r="C672" s="1" t="s">
        <v>2714</v>
      </c>
      <c r="D672" s="1" t="s">
        <v>3021</v>
      </c>
      <c r="E672" s="1" t="s">
        <v>10151</v>
      </c>
      <c r="F672" s="1" t="s">
        <v>2061</v>
      </c>
      <c r="G672" t="s">
        <v>10152</v>
      </c>
      <c r="H672">
        <v>167281</v>
      </c>
      <c r="I672" s="1" t="s">
        <v>2716</v>
      </c>
      <c r="J672" s="44" t="s">
        <v>2716</v>
      </c>
      <c r="K672" s="44" t="s">
        <v>6184</v>
      </c>
      <c r="L672" s="1" t="s">
        <v>6645</v>
      </c>
      <c r="M672" s="1" t="s">
        <v>10153</v>
      </c>
      <c r="N672" s="1" t="s">
        <v>8085</v>
      </c>
    </row>
    <row r="673" spans="1:14">
      <c r="A673" s="1" t="s">
        <v>2776</v>
      </c>
      <c r="B673" s="1" t="s">
        <v>2777</v>
      </c>
      <c r="C673" s="1" t="s">
        <v>2778</v>
      </c>
      <c r="D673" s="1" t="s">
        <v>3026</v>
      </c>
      <c r="E673" s="1" t="s">
        <v>10154</v>
      </c>
      <c r="F673" s="1" t="s">
        <v>5974</v>
      </c>
      <c r="G673" t="s">
        <v>10155</v>
      </c>
      <c r="H673">
        <v>165700</v>
      </c>
      <c r="I673" s="1" t="s">
        <v>6323</v>
      </c>
      <c r="J673" s="44" t="s">
        <v>6323</v>
      </c>
      <c r="K673" s="44" t="s">
        <v>5001</v>
      </c>
      <c r="L673" s="1" t="s">
        <v>6461</v>
      </c>
      <c r="M673" s="1" t="s">
        <v>6606</v>
      </c>
      <c r="N673" s="1" t="s">
        <v>8162</v>
      </c>
    </row>
    <row r="674" spans="1:14">
      <c r="A674" s="1" t="s">
        <v>2707</v>
      </c>
      <c r="B674" s="1" t="s">
        <v>2708</v>
      </c>
      <c r="C674" s="1" t="s">
        <v>2709</v>
      </c>
      <c r="D674" s="1" t="s">
        <v>3030</v>
      </c>
      <c r="E674" s="1" t="s">
        <v>10156</v>
      </c>
      <c r="F674" s="1" t="s">
        <v>2478</v>
      </c>
      <c r="G674" t="s">
        <v>10157</v>
      </c>
      <c r="H674">
        <v>164351</v>
      </c>
      <c r="I674" s="1" t="s">
        <v>2711</v>
      </c>
      <c r="J674" s="44" t="s">
        <v>138</v>
      </c>
      <c r="K674" s="44" t="s">
        <v>5049</v>
      </c>
      <c r="L674" s="1" t="s">
        <v>9477</v>
      </c>
      <c r="M674" s="1" t="s">
        <v>10158</v>
      </c>
      <c r="N674" s="1" t="s">
        <v>8396</v>
      </c>
    </row>
    <row r="675" spans="1:14">
      <c r="A675" s="1" t="s">
        <v>2747</v>
      </c>
      <c r="B675" s="1" t="s">
        <v>2748</v>
      </c>
      <c r="C675" s="1" t="s">
        <v>2749</v>
      </c>
      <c r="D675" s="1" t="s">
        <v>3034</v>
      </c>
      <c r="E675" s="1" t="s">
        <v>10159</v>
      </c>
      <c r="F675" s="1" t="s">
        <v>2236</v>
      </c>
      <c r="G675" t="s">
        <v>10160</v>
      </c>
      <c r="H675">
        <v>160284</v>
      </c>
      <c r="I675" s="1" t="s">
        <v>10161</v>
      </c>
      <c r="J675" s="44" t="s">
        <v>10161</v>
      </c>
      <c r="K675" s="44" t="s">
        <v>5067</v>
      </c>
      <c r="L675" s="1" t="s">
        <v>6515</v>
      </c>
      <c r="M675" s="1" t="s">
        <v>7581</v>
      </c>
      <c r="N675" s="1" t="s">
        <v>8074</v>
      </c>
    </row>
    <row r="676" spans="1:14">
      <c r="A676" s="1" t="s">
        <v>2963</v>
      </c>
      <c r="B676" s="1" t="s">
        <v>2964</v>
      </c>
      <c r="C676" s="1" t="s">
        <v>2965</v>
      </c>
      <c r="D676" s="1" t="s">
        <v>3038</v>
      </c>
      <c r="E676" s="1" t="s">
        <v>10162</v>
      </c>
      <c r="F676" s="1" t="s">
        <v>6325</v>
      </c>
      <c r="G676" t="s">
        <v>10163</v>
      </c>
      <c r="H676">
        <v>152105</v>
      </c>
      <c r="I676" s="1" t="s">
        <v>10164</v>
      </c>
      <c r="J676" s="44" t="s">
        <v>10164</v>
      </c>
      <c r="K676" s="44" t="s">
        <v>5067</v>
      </c>
      <c r="L676" s="1" t="s">
        <v>6464</v>
      </c>
      <c r="M676" s="1" t="s">
        <v>7439</v>
      </c>
      <c r="N676" s="1" t="s">
        <v>8263</v>
      </c>
    </row>
    <row r="677" spans="1:14">
      <c r="A677" s="1" t="s">
        <v>2917</v>
      </c>
      <c r="B677" s="1" t="s">
        <v>2918</v>
      </c>
      <c r="C677" s="1" t="s">
        <v>2919</v>
      </c>
      <c r="D677" s="1" t="s">
        <v>3043</v>
      </c>
      <c r="E677" s="1" t="s">
        <v>10142</v>
      </c>
      <c r="F677" s="1" t="s">
        <v>5512</v>
      </c>
      <c r="G677" t="s">
        <v>10165</v>
      </c>
      <c r="H677">
        <v>151256</v>
      </c>
      <c r="I677" s="1" t="s">
        <v>5804</v>
      </c>
      <c r="J677" s="44" t="s">
        <v>5804</v>
      </c>
      <c r="K677" s="44" t="s">
        <v>5001</v>
      </c>
      <c r="L677" s="1" t="s">
        <v>7266</v>
      </c>
      <c r="M677" s="1" t="s">
        <v>10166</v>
      </c>
      <c r="N677" s="1" t="s">
        <v>8112</v>
      </c>
    </row>
    <row r="678" spans="1:14">
      <c r="A678" s="1" t="s">
        <v>2817</v>
      </c>
      <c r="B678" s="1" t="s">
        <v>2818</v>
      </c>
      <c r="C678" s="1" t="s">
        <v>2819</v>
      </c>
      <c r="D678" s="1" t="s">
        <v>3047</v>
      </c>
      <c r="E678" s="1" t="s">
        <v>9705</v>
      </c>
      <c r="F678" s="1" t="s">
        <v>1158</v>
      </c>
      <c r="G678" t="s">
        <v>10167</v>
      </c>
      <c r="H678">
        <v>148939</v>
      </c>
      <c r="I678" s="1" t="s">
        <v>10168</v>
      </c>
      <c r="J678" s="44" t="s">
        <v>10168</v>
      </c>
      <c r="K678" s="44" t="s">
        <v>5067</v>
      </c>
      <c r="L678" s="1" t="s">
        <v>10169</v>
      </c>
      <c r="M678" s="1" t="s">
        <v>7416</v>
      </c>
      <c r="N678" s="1" t="s">
        <v>8085</v>
      </c>
    </row>
    <row r="679" spans="1:14">
      <c r="A679" s="1" t="s">
        <v>2717</v>
      </c>
      <c r="B679" s="1" t="s">
        <v>2718</v>
      </c>
      <c r="C679" s="1" t="s">
        <v>2719</v>
      </c>
      <c r="D679" s="1" t="s">
        <v>3051</v>
      </c>
      <c r="E679" s="1" t="s">
        <v>10170</v>
      </c>
      <c r="F679" s="1" t="s">
        <v>2129</v>
      </c>
      <c r="G679" t="s">
        <v>6942</v>
      </c>
      <c r="H679">
        <v>148447</v>
      </c>
      <c r="I679" s="1" t="s">
        <v>10171</v>
      </c>
      <c r="J679" s="44" t="s">
        <v>2721</v>
      </c>
      <c r="K679" s="44" t="s">
        <v>5001</v>
      </c>
      <c r="L679" s="1" t="s">
        <v>10172</v>
      </c>
      <c r="M679" s="1" t="s">
        <v>6590</v>
      </c>
      <c r="N679" s="1" t="s">
        <v>8190</v>
      </c>
    </row>
    <row r="680" spans="1:14">
      <c r="A680" s="1" t="s">
        <v>3048</v>
      </c>
      <c r="B680" s="1" t="s">
        <v>3049</v>
      </c>
      <c r="C680" s="1" t="s">
        <v>3050</v>
      </c>
      <c r="D680" s="1" t="s">
        <v>3055</v>
      </c>
      <c r="E680" s="1" t="s">
        <v>10173</v>
      </c>
      <c r="F680" s="1" t="s">
        <v>5807</v>
      </c>
      <c r="G680" t="s">
        <v>10174</v>
      </c>
      <c r="H680">
        <v>147836</v>
      </c>
      <c r="I680" s="1" t="s">
        <v>10175</v>
      </c>
      <c r="J680" s="44" t="s">
        <v>10175</v>
      </c>
      <c r="K680" s="44" t="s">
        <v>5538</v>
      </c>
      <c r="L680" s="1" t="s">
        <v>7464</v>
      </c>
      <c r="M680" s="1" t="s">
        <v>7883</v>
      </c>
      <c r="N680" s="1" t="s">
        <v>8173</v>
      </c>
    </row>
    <row r="681" spans="1:14">
      <c r="A681" s="1" t="s">
        <v>2897</v>
      </c>
      <c r="B681" s="1" t="s">
        <v>2898</v>
      </c>
      <c r="C681" s="1" t="s">
        <v>2899</v>
      </c>
      <c r="D681" s="1" t="s">
        <v>3060</v>
      </c>
      <c r="E681" s="1" t="s">
        <v>10176</v>
      </c>
      <c r="F681" s="1" t="s">
        <v>5527</v>
      </c>
      <c r="G681" t="s">
        <v>10177</v>
      </c>
      <c r="H681">
        <v>146024</v>
      </c>
      <c r="I681" s="1" t="s">
        <v>10178</v>
      </c>
      <c r="J681" s="44" t="s">
        <v>54</v>
      </c>
      <c r="K681" s="44" t="s">
        <v>5067</v>
      </c>
      <c r="L681" s="1" t="s">
        <v>7088</v>
      </c>
      <c r="M681" s="1" t="s">
        <v>10179</v>
      </c>
      <c r="N681" s="1" t="s">
        <v>8074</v>
      </c>
    </row>
    <row r="682" spans="1:14">
      <c r="A682" s="1" t="s">
        <v>3044</v>
      </c>
      <c r="B682" s="1" t="s">
        <v>3045</v>
      </c>
      <c r="C682" s="1" t="s">
        <v>3046</v>
      </c>
      <c r="D682" s="1" t="s">
        <v>3064</v>
      </c>
      <c r="E682" s="1" t="s">
        <v>10180</v>
      </c>
      <c r="F682" s="1" t="s">
        <v>6749</v>
      </c>
      <c r="G682" t="s">
        <v>10181</v>
      </c>
      <c r="H682">
        <v>145630</v>
      </c>
      <c r="I682" s="1" t="s">
        <v>6326</v>
      </c>
      <c r="J682" s="44" t="s">
        <v>6326</v>
      </c>
      <c r="K682" s="44" t="s">
        <v>5869</v>
      </c>
      <c r="L682" s="1" t="s">
        <v>7206</v>
      </c>
      <c r="M682" s="1" t="s">
        <v>5830</v>
      </c>
      <c r="N682" s="1" t="s">
        <v>8263</v>
      </c>
    </row>
    <row r="683" spans="1:14">
      <c r="A683" s="1" t="s">
        <v>4278</v>
      </c>
      <c r="B683" s="1" t="s">
        <v>4279</v>
      </c>
      <c r="C683" s="1" t="s">
        <v>4280</v>
      </c>
      <c r="D683" s="1" t="s">
        <v>3069</v>
      </c>
      <c r="E683" s="1" t="s">
        <v>10182</v>
      </c>
      <c r="F683" s="1" t="s">
        <v>6327</v>
      </c>
      <c r="G683" t="s">
        <v>10183</v>
      </c>
      <c r="H683">
        <v>145280</v>
      </c>
      <c r="I683" s="1" t="s">
        <v>10184</v>
      </c>
      <c r="J683" s="44" t="s">
        <v>10184</v>
      </c>
      <c r="K683" s="44" t="s">
        <v>5067</v>
      </c>
      <c r="L683" s="1" t="s">
        <v>10185</v>
      </c>
      <c r="M683" s="1" t="s">
        <v>6484</v>
      </c>
      <c r="N683" s="1" t="s">
        <v>8090</v>
      </c>
    </row>
    <row r="684" spans="1:14">
      <c r="A684" s="1" t="s">
        <v>2738</v>
      </c>
      <c r="B684" s="1" t="s">
        <v>2739</v>
      </c>
      <c r="C684" s="1" t="s">
        <v>2740</v>
      </c>
      <c r="D684" s="1" t="s">
        <v>3073</v>
      </c>
      <c r="E684" s="1" t="s">
        <v>10186</v>
      </c>
      <c r="F684" s="1" t="s">
        <v>10187</v>
      </c>
      <c r="G684" t="s">
        <v>10188</v>
      </c>
      <c r="H684">
        <v>144521</v>
      </c>
      <c r="I684" s="1" t="s">
        <v>5218</v>
      </c>
      <c r="J684" s="44" t="s">
        <v>5218</v>
      </c>
      <c r="K684" s="44" t="s">
        <v>5844</v>
      </c>
      <c r="L684" s="1" t="s">
        <v>6944</v>
      </c>
      <c r="M684" s="1" t="s">
        <v>6471</v>
      </c>
      <c r="N684" s="1" t="s">
        <v>8152</v>
      </c>
    </row>
    <row r="685" spans="1:14">
      <c r="A685" s="1" t="s">
        <v>2940</v>
      </c>
      <c r="B685" s="1" t="s">
        <v>2941</v>
      </c>
      <c r="C685" s="1" t="s">
        <v>2942</v>
      </c>
      <c r="D685" s="1" t="s">
        <v>3078</v>
      </c>
      <c r="E685" s="1" t="s">
        <v>6938</v>
      </c>
      <c r="F685" s="1" t="s">
        <v>5997</v>
      </c>
      <c r="G685" t="s">
        <v>10189</v>
      </c>
      <c r="H685">
        <v>143866</v>
      </c>
      <c r="I685" s="1" t="s">
        <v>10190</v>
      </c>
      <c r="J685" s="44" t="s">
        <v>10190</v>
      </c>
      <c r="K685" s="44" t="s">
        <v>5067</v>
      </c>
      <c r="L685" s="1" t="s">
        <v>9416</v>
      </c>
      <c r="M685" s="1" t="s">
        <v>6979</v>
      </c>
      <c r="N685" s="1" t="s">
        <v>8171</v>
      </c>
    </row>
    <row r="686" spans="1:14">
      <c r="A686" s="1" t="s">
        <v>2803</v>
      </c>
      <c r="B686" s="1" t="s">
        <v>2804</v>
      </c>
      <c r="C686" s="1" t="s">
        <v>2805</v>
      </c>
      <c r="D686" s="1" t="s">
        <v>3083</v>
      </c>
      <c r="E686" s="1" t="s">
        <v>6328</v>
      </c>
      <c r="F686" s="1" t="s">
        <v>2760</v>
      </c>
      <c r="H686">
        <v>143608</v>
      </c>
      <c r="I686" s="1" t="s">
        <v>2807</v>
      </c>
      <c r="J686" s="44" t="s">
        <v>2807</v>
      </c>
      <c r="K686" s="44"/>
      <c r="L686" s="1" t="s">
        <v>5063</v>
      </c>
      <c r="M686" s="1"/>
      <c r="N686" s="1" t="s">
        <v>6329</v>
      </c>
    </row>
    <row r="687" spans="1:14">
      <c r="A687" s="1" t="s">
        <v>2106</v>
      </c>
      <c r="B687" s="1" t="s">
        <v>2107</v>
      </c>
      <c r="C687" s="1" t="s">
        <v>2108</v>
      </c>
      <c r="D687" s="1" t="s">
        <v>3088</v>
      </c>
      <c r="E687" s="1" t="s">
        <v>10191</v>
      </c>
      <c r="F687" s="1" t="s">
        <v>5820</v>
      </c>
      <c r="G687" t="s">
        <v>10192</v>
      </c>
      <c r="H687">
        <v>142873</v>
      </c>
      <c r="I687" s="1" t="s">
        <v>2110</v>
      </c>
      <c r="J687" s="44" t="s">
        <v>2110</v>
      </c>
      <c r="K687" s="44" t="s">
        <v>5843</v>
      </c>
      <c r="L687" s="1" t="s">
        <v>7448</v>
      </c>
      <c r="M687" s="1" t="s">
        <v>7405</v>
      </c>
      <c r="N687" s="1" t="s">
        <v>8483</v>
      </c>
    </row>
    <row r="688" spans="1:14">
      <c r="A688" s="1" t="s">
        <v>3080</v>
      </c>
      <c r="B688" s="1" t="s">
        <v>3081</v>
      </c>
      <c r="C688" s="1" t="s">
        <v>3082</v>
      </c>
      <c r="D688" s="1" t="s">
        <v>3092</v>
      </c>
      <c r="E688" s="1" t="s">
        <v>10193</v>
      </c>
      <c r="F688" s="1" t="s">
        <v>6302</v>
      </c>
      <c r="G688" t="s">
        <v>10194</v>
      </c>
      <c r="H688">
        <v>142669</v>
      </c>
      <c r="I688" s="1" t="s">
        <v>3084</v>
      </c>
      <c r="J688" s="44" t="s">
        <v>3084</v>
      </c>
      <c r="K688" s="44" t="s">
        <v>5001</v>
      </c>
      <c r="L688" s="1" t="s">
        <v>10195</v>
      </c>
      <c r="M688" s="1" t="s">
        <v>10196</v>
      </c>
      <c r="N688" s="1" t="s">
        <v>8065</v>
      </c>
    </row>
    <row r="689" spans="1:14">
      <c r="A689" s="1" t="s">
        <v>2813</v>
      </c>
      <c r="B689" s="1" t="s">
        <v>2814</v>
      </c>
      <c r="C689" s="1" t="s">
        <v>2815</v>
      </c>
      <c r="D689" s="1" t="s">
        <v>3096</v>
      </c>
      <c r="E689" s="1" t="s">
        <v>10197</v>
      </c>
      <c r="F689" s="1" t="s">
        <v>3168</v>
      </c>
      <c r="G689" t="s">
        <v>10198</v>
      </c>
      <c r="H689">
        <v>141156</v>
      </c>
      <c r="I689" s="1" t="s">
        <v>10199</v>
      </c>
      <c r="J689" s="44" t="s">
        <v>10199</v>
      </c>
      <c r="K689" s="44" t="s">
        <v>5067</v>
      </c>
      <c r="L689" s="1" t="s">
        <v>10200</v>
      </c>
      <c r="M689" s="1" t="s">
        <v>6497</v>
      </c>
      <c r="N689" s="1" t="s">
        <v>8085</v>
      </c>
    </row>
    <row r="690" spans="1:14">
      <c r="A690" s="1" t="s">
        <v>2162</v>
      </c>
      <c r="B690" s="1" t="s">
        <v>2163</v>
      </c>
      <c r="C690" s="1" t="s">
        <v>2164</v>
      </c>
      <c r="D690" s="1" t="s">
        <v>3101</v>
      </c>
      <c r="E690" s="1" t="s">
        <v>10201</v>
      </c>
      <c r="F690" s="1" t="s">
        <v>5384</v>
      </c>
      <c r="G690" t="s">
        <v>10202</v>
      </c>
      <c r="H690">
        <v>137024</v>
      </c>
      <c r="I690" s="1" t="s">
        <v>2166</v>
      </c>
      <c r="J690" s="44" t="s">
        <v>2166</v>
      </c>
      <c r="K690" s="44" t="s">
        <v>5001</v>
      </c>
      <c r="L690" s="1" t="s">
        <v>5373</v>
      </c>
      <c r="M690" s="1" t="s">
        <v>6127</v>
      </c>
      <c r="N690" s="1" t="s">
        <v>8085</v>
      </c>
    </row>
    <row r="691" spans="1:14">
      <c r="A691" s="1" t="s">
        <v>2767</v>
      </c>
      <c r="B691" s="1" t="s">
        <v>2768</v>
      </c>
      <c r="C691" s="1" t="s">
        <v>2769</v>
      </c>
      <c r="D691" s="1" t="s">
        <v>3105</v>
      </c>
      <c r="E691" s="1" t="s">
        <v>10203</v>
      </c>
      <c r="F691" s="1" t="s">
        <v>6276</v>
      </c>
      <c r="G691" t="s">
        <v>10204</v>
      </c>
      <c r="H691">
        <v>136795</v>
      </c>
      <c r="I691" s="1" t="s">
        <v>2771</v>
      </c>
      <c r="J691" s="44" t="s">
        <v>2771</v>
      </c>
      <c r="K691" s="44" t="s">
        <v>5067</v>
      </c>
      <c r="L691" s="1" t="s">
        <v>5765</v>
      </c>
      <c r="M691" s="1" t="s">
        <v>6554</v>
      </c>
      <c r="N691" s="1" t="s">
        <v>8173</v>
      </c>
    </row>
    <row r="692" spans="1:14">
      <c r="A692" s="1" t="s">
        <v>2182</v>
      </c>
      <c r="B692" s="1" t="s">
        <v>2183</v>
      </c>
      <c r="C692" s="1" t="s">
        <v>2184</v>
      </c>
      <c r="D692" s="1" t="s">
        <v>3110</v>
      </c>
      <c r="E692" s="1" t="s">
        <v>10205</v>
      </c>
      <c r="F692" s="1" t="s">
        <v>6231</v>
      </c>
      <c r="G692" t="s">
        <v>10206</v>
      </c>
      <c r="H692">
        <v>136354</v>
      </c>
      <c r="I692" s="1" t="s">
        <v>10207</v>
      </c>
      <c r="J692" s="44" t="s">
        <v>10207</v>
      </c>
      <c r="K692" s="44" t="s">
        <v>6471</v>
      </c>
      <c r="L692" s="1" t="s">
        <v>7418</v>
      </c>
      <c r="M692" s="1" t="s">
        <v>10208</v>
      </c>
      <c r="N692" s="1" t="s">
        <v>8483</v>
      </c>
    </row>
    <row r="693" spans="1:14">
      <c r="A693" s="1" t="s">
        <v>2662</v>
      </c>
      <c r="B693" s="1" t="s">
        <v>2663</v>
      </c>
      <c r="C693" s="1" t="s">
        <v>2664</v>
      </c>
      <c r="D693" s="1" t="s">
        <v>3114</v>
      </c>
      <c r="E693" s="1" t="s">
        <v>10209</v>
      </c>
      <c r="F693" s="1" t="s">
        <v>1372</v>
      </c>
      <c r="G693" t="s">
        <v>10210</v>
      </c>
      <c r="H693">
        <v>133467</v>
      </c>
      <c r="I693" s="1" t="s">
        <v>10211</v>
      </c>
      <c r="J693" s="44" t="s">
        <v>10211</v>
      </c>
      <c r="K693" s="44" t="s">
        <v>5067</v>
      </c>
      <c r="L693" s="1"/>
      <c r="M693" s="1" t="s">
        <v>10212</v>
      </c>
      <c r="N693" s="1" t="s">
        <v>8107</v>
      </c>
    </row>
    <row r="694" spans="1:14">
      <c r="A694" s="1" t="s">
        <v>2830</v>
      </c>
      <c r="B694" s="1" t="s">
        <v>2831</v>
      </c>
      <c r="C694" s="1" t="s">
        <v>2832</v>
      </c>
      <c r="D694" s="1" t="s">
        <v>3118</v>
      </c>
      <c r="E694" s="1" t="s">
        <v>5604</v>
      </c>
      <c r="F694" s="1" t="s">
        <v>5528</v>
      </c>
      <c r="H694">
        <v>131783</v>
      </c>
      <c r="I694" s="1" t="s">
        <v>2834</v>
      </c>
      <c r="J694" s="44" t="s">
        <v>2834</v>
      </c>
      <c r="K694" s="44"/>
      <c r="L694" s="1"/>
      <c r="M694" s="1"/>
      <c r="N694" s="1" t="s">
        <v>5603</v>
      </c>
    </row>
    <row r="695" spans="1:14">
      <c r="A695" s="1" t="s">
        <v>3031</v>
      </c>
      <c r="B695" s="1" t="s">
        <v>3032</v>
      </c>
      <c r="C695" s="1" t="s">
        <v>3033</v>
      </c>
      <c r="D695" s="1" t="s">
        <v>3122</v>
      </c>
      <c r="E695" s="1" t="s">
        <v>5563</v>
      </c>
      <c r="F695" s="1" t="s">
        <v>5508</v>
      </c>
      <c r="H695">
        <v>131745</v>
      </c>
      <c r="I695" s="1" t="s">
        <v>10213</v>
      </c>
      <c r="J695" s="44" t="s">
        <v>10214</v>
      </c>
      <c r="K695" s="44"/>
      <c r="L695" s="1"/>
      <c r="M695" s="1" t="s">
        <v>7774</v>
      </c>
      <c r="N695" s="1" t="s">
        <v>5564</v>
      </c>
    </row>
    <row r="696" spans="1:14">
      <c r="A696" s="1" t="s">
        <v>3457</v>
      </c>
      <c r="B696" s="1" t="s">
        <v>3458</v>
      </c>
      <c r="C696" s="1" t="s">
        <v>3459</v>
      </c>
      <c r="D696" s="1" t="s">
        <v>3126</v>
      </c>
      <c r="E696" s="1" t="s">
        <v>10215</v>
      </c>
      <c r="F696" s="1" t="s">
        <v>6331</v>
      </c>
      <c r="G696" t="s">
        <v>10216</v>
      </c>
      <c r="H696">
        <v>131718</v>
      </c>
      <c r="I696" s="1" t="s">
        <v>3461</v>
      </c>
      <c r="J696" s="44" t="s">
        <v>3461</v>
      </c>
      <c r="K696" s="44" t="s">
        <v>5067</v>
      </c>
      <c r="L696" s="1" t="s">
        <v>10217</v>
      </c>
      <c r="M696" s="1" t="s">
        <v>6937</v>
      </c>
      <c r="N696" s="1" t="s">
        <v>8152</v>
      </c>
    </row>
    <row r="697" spans="1:14">
      <c r="A697" s="1" t="s">
        <v>2186</v>
      </c>
      <c r="B697" s="1" t="s">
        <v>2187</v>
      </c>
      <c r="C697" s="1" t="s">
        <v>2188</v>
      </c>
      <c r="D697" s="1" t="s">
        <v>3130</v>
      </c>
      <c r="E697" s="1" t="s">
        <v>10218</v>
      </c>
      <c r="F697" s="1" t="s">
        <v>6038</v>
      </c>
      <c r="G697" t="s">
        <v>10219</v>
      </c>
      <c r="H697">
        <v>130241</v>
      </c>
      <c r="I697" s="1" t="s">
        <v>5294</v>
      </c>
      <c r="J697" s="44" t="s">
        <v>10220</v>
      </c>
      <c r="K697" s="44" t="s">
        <v>5067</v>
      </c>
      <c r="L697" s="1" t="s">
        <v>7701</v>
      </c>
      <c r="M697" s="1" t="s">
        <v>7875</v>
      </c>
      <c r="N697" s="1" t="s">
        <v>8065</v>
      </c>
    </row>
    <row r="698" spans="1:14">
      <c r="A698" s="1" t="s">
        <v>2798</v>
      </c>
      <c r="B698" s="1" t="s">
        <v>2799</v>
      </c>
      <c r="C698" s="1" t="s">
        <v>2800</v>
      </c>
      <c r="D698" s="1" t="s">
        <v>3135</v>
      </c>
      <c r="E698" s="1" t="s">
        <v>10170</v>
      </c>
      <c r="F698" s="1" t="s">
        <v>2129</v>
      </c>
      <c r="G698" t="s">
        <v>10221</v>
      </c>
      <c r="H698">
        <v>130171</v>
      </c>
      <c r="I698" s="1" t="s">
        <v>10222</v>
      </c>
      <c r="J698" s="44" t="s">
        <v>10222</v>
      </c>
      <c r="K698" s="44" t="s">
        <v>5067</v>
      </c>
      <c r="L698" s="1" t="s">
        <v>7354</v>
      </c>
      <c r="M698" s="1" t="s">
        <v>5833</v>
      </c>
      <c r="N698" s="1" t="s">
        <v>8074</v>
      </c>
    </row>
    <row r="699" spans="1:14">
      <c r="A699" s="1" t="s">
        <v>2205</v>
      </c>
      <c r="B699" s="1" t="s">
        <v>2206</v>
      </c>
      <c r="C699" s="1" t="s">
        <v>2207</v>
      </c>
      <c r="D699" s="1" t="s">
        <v>3140</v>
      </c>
      <c r="E699" s="1" t="s">
        <v>10223</v>
      </c>
      <c r="F699" s="1" t="s">
        <v>2591</v>
      </c>
      <c r="G699" t="s">
        <v>10224</v>
      </c>
      <c r="H699">
        <v>128884</v>
      </c>
      <c r="I699" s="1" t="s">
        <v>2209</v>
      </c>
      <c r="J699" s="44" t="s">
        <v>2210</v>
      </c>
      <c r="K699" s="44" t="s">
        <v>5067</v>
      </c>
      <c r="L699" s="1" t="s">
        <v>7557</v>
      </c>
      <c r="M699" s="1" t="s">
        <v>7825</v>
      </c>
      <c r="N699" s="1" t="s">
        <v>8070</v>
      </c>
    </row>
    <row r="700" spans="1:14">
      <c r="A700" s="1" t="s">
        <v>2860</v>
      </c>
      <c r="B700" s="1" t="s">
        <v>2861</v>
      </c>
      <c r="C700" s="1" t="s">
        <v>2862</v>
      </c>
      <c r="D700" s="1" t="s">
        <v>3145</v>
      </c>
      <c r="E700" s="1" t="s">
        <v>10225</v>
      </c>
      <c r="F700" s="1" t="s">
        <v>10226</v>
      </c>
      <c r="G700" t="s">
        <v>10227</v>
      </c>
      <c r="H700">
        <v>126836</v>
      </c>
      <c r="I700" s="1" t="s">
        <v>5</v>
      </c>
      <c r="J700" s="44" t="s">
        <v>5</v>
      </c>
      <c r="K700" s="44" t="s">
        <v>5003</v>
      </c>
      <c r="L700" s="1" t="s">
        <v>7754</v>
      </c>
      <c r="M700" s="1" t="s">
        <v>10228</v>
      </c>
      <c r="N700" s="1" t="s">
        <v>8171</v>
      </c>
    </row>
    <row r="701" spans="1:14">
      <c r="A701" s="1" t="s">
        <v>2847</v>
      </c>
      <c r="B701" s="1" t="s">
        <v>2848</v>
      </c>
      <c r="C701" s="1" t="s">
        <v>2849</v>
      </c>
      <c r="D701" s="1" t="s">
        <v>3150</v>
      </c>
      <c r="E701" s="1" t="s">
        <v>10229</v>
      </c>
      <c r="F701" s="1" t="s">
        <v>6332</v>
      </c>
      <c r="G701" t="s">
        <v>10230</v>
      </c>
      <c r="H701">
        <v>121346</v>
      </c>
      <c r="I701" s="1" t="s">
        <v>2851</v>
      </c>
      <c r="J701" s="44" t="s">
        <v>2851</v>
      </c>
      <c r="K701" s="44" t="s">
        <v>5001</v>
      </c>
      <c r="L701" s="1" t="s">
        <v>7648</v>
      </c>
      <c r="M701" s="1" t="s">
        <v>6523</v>
      </c>
      <c r="N701" s="1" t="s">
        <v>8098</v>
      </c>
    </row>
    <row r="702" spans="1:14">
      <c r="A702" s="1" t="s">
        <v>2199</v>
      </c>
      <c r="B702" s="1" t="s">
        <v>2200</v>
      </c>
      <c r="C702" s="1" t="s">
        <v>2201</v>
      </c>
      <c r="D702" s="1" t="s">
        <v>3154</v>
      </c>
      <c r="E702" s="1" t="s">
        <v>10231</v>
      </c>
      <c r="F702" s="1" t="s">
        <v>1034</v>
      </c>
      <c r="G702" t="s">
        <v>10232</v>
      </c>
      <c r="H702">
        <v>121013</v>
      </c>
      <c r="I702" s="1" t="s">
        <v>2204</v>
      </c>
      <c r="J702" s="44" t="s">
        <v>2204</v>
      </c>
      <c r="K702" s="44" t="s">
        <v>5001</v>
      </c>
      <c r="L702" s="1" t="s">
        <v>6277</v>
      </c>
      <c r="M702" s="1" t="s">
        <v>7277</v>
      </c>
      <c r="N702" s="1" t="s">
        <v>8133</v>
      </c>
    </row>
    <row r="703" spans="1:14">
      <c r="A703" s="1" t="s">
        <v>2936</v>
      </c>
      <c r="B703" s="1" t="s">
        <v>2937</v>
      </c>
      <c r="C703" s="1" t="s">
        <v>2938</v>
      </c>
      <c r="D703" s="1" t="s">
        <v>3158</v>
      </c>
      <c r="E703" s="1" t="s">
        <v>10233</v>
      </c>
      <c r="F703" s="1" t="s">
        <v>6244</v>
      </c>
      <c r="G703" t="s">
        <v>10234</v>
      </c>
      <c r="H703">
        <v>120846</v>
      </c>
      <c r="I703" s="1" t="s">
        <v>5303</v>
      </c>
      <c r="J703" s="44" t="s">
        <v>5303</v>
      </c>
      <c r="K703" s="44" t="s">
        <v>5067</v>
      </c>
      <c r="L703" s="1"/>
      <c r="M703" s="1" t="s">
        <v>6218</v>
      </c>
      <c r="N703" s="1" t="s">
        <v>8098</v>
      </c>
    </row>
    <row r="704" spans="1:14">
      <c r="A704" s="1" t="s">
        <v>2902</v>
      </c>
      <c r="B704" s="1" t="s">
        <v>2903</v>
      </c>
      <c r="C704" s="1" t="s">
        <v>2904</v>
      </c>
      <c r="D704" s="1" t="s">
        <v>3162</v>
      </c>
      <c r="E704" s="1" t="s">
        <v>5707</v>
      </c>
      <c r="F704" s="1" t="s">
        <v>1709</v>
      </c>
      <c r="H704">
        <v>120052</v>
      </c>
      <c r="I704" s="1" t="s">
        <v>2906</v>
      </c>
      <c r="J704" s="44" t="s">
        <v>2906</v>
      </c>
      <c r="K704" s="44"/>
      <c r="L704" s="1"/>
      <c r="M704" s="1" t="s">
        <v>5679</v>
      </c>
      <c r="N704" s="1" t="s">
        <v>5708</v>
      </c>
    </row>
    <row r="705" spans="1:14">
      <c r="A705" s="1" t="s">
        <v>2967</v>
      </c>
      <c r="B705" s="1" t="s">
        <v>2968</v>
      </c>
      <c r="C705" s="1" t="s">
        <v>2969</v>
      </c>
      <c r="D705" s="1" t="s">
        <v>3167</v>
      </c>
      <c r="E705" s="1" t="s">
        <v>6333</v>
      </c>
      <c r="F705" s="1" t="s">
        <v>5805</v>
      </c>
      <c r="H705">
        <v>118389</v>
      </c>
      <c r="I705" s="1" t="s">
        <v>10235</v>
      </c>
      <c r="J705" s="44" t="s">
        <v>10236</v>
      </c>
      <c r="K705" s="44"/>
      <c r="L705" s="1" t="s">
        <v>7893</v>
      </c>
      <c r="M705" s="1" t="s">
        <v>7776</v>
      </c>
      <c r="N705" s="1" t="s">
        <v>6334</v>
      </c>
    </row>
    <row r="706" spans="1:14">
      <c r="A706" s="1" t="s">
        <v>2808</v>
      </c>
      <c r="B706" s="1" t="s">
        <v>2809</v>
      </c>
      <c r="C706" s="1" t="s">
        <v>2810</v>
      </c>
      <c r="D706" s="1" t="s">
        <v>3174</v>
      </c>
      <c r="E706" s="1" t="s">
        <v>10237</v>
      </c>
      <c r="F706" s="1" t="s">
        <v>5546</v>
      </c>
      <c r="G706" t="s">
        <v>10238</v>
      </c>
      <c r="H706">
        <v>118029</v>
      </c>
      <c r="I706" s="1" t="s">
        <v>2812</v>
      </c>
      <c r="J706" s="44" t="s">
        <v>2812</v>
      </c>
      <c r="K706" s="44" t="s">
        <v>6962</v>
      </c>
      <c r="L706" s="1" t="s">
        <v>7001</v>
      </c>
      <c r="M706" s="1" t="s">
        <v>10239</v>
      </c>
      <c r="N706" s="1" t="s">
        <v>8137</v>
      </c>
    </row>
    <row r="707" spans="1:14">
      <c r="A707" s="1" t="s">
        <v>3119</v>
      </c>
      <c r="B707" s="1" t="s">
        <v>3120</v>
      </c>
      <c r="C707" s="1" t="s">
        <v>3121</v>
      </c>
      <c r="D707" s="1" t="s">
        <v>3179</v>
      </c>
      <c r="E707" s="1" t="s">
        <v>10240</v>
      </c>
      <c r="F707" s="1" t="s">
        <v>2220</v>
      </c>
      <c r="G707" t="s">
        <v>10241</v>
      </c>
      <c r="H707">
        <v>117656</v>
      </c>
      <c r="I707" s="1" t="s">
        <v>10242</v>
      </c>
      <c r="J707" s="44" t="s">
        <v>10242</v>
      </c>
      <c r="K707" s="44" t="s">
        <v>5067</v>
      </c>
      <c r="L707" s="1" t="s">
        <v>7782</v>
      </c>
      <c r="M707" s="1" t="s">
        <v>10243</v>
      </c>
      <c r="N707" s="1" t="s">
        <v>8173</v>
      </c>
    </row>
    <row r="708" spans="1:14">
      <c r="A708" s="1" t="s">
        <v>3061</v>
      </c>
      <c r="B708" s="1" t="s">
        <v>3062</v>
      </c>
      <c r="C708" s="1" t="s">
        <v>3063</v>
      </c>
      <c r="D708" s="1" t="s">
        <v>3183</v>
      </c>
      <c r="E708" s="1" t="s">
        <v>10244</v>
      </c>
      <c r="F708" s="1" t="s">
        <v>6335</v>
      </c>
      <c r="G708" t="s">
        <v>10245</v>
      </c>
      <c r="H708">
        <v>117303</v>
      </c>
      <c r="I708" s="1" t="s">
        <v>3065</v>
      </c>
      <c r="J708" s="44" t="s">
        <v>3065</v>
      </c>
      <c r="K708" s="44" t="s">
        <v>5067</v>
      </c>
      <c r="L708" s="1" t="s">
        <v>7240</v>
      </c>
      <c r="M708" s="1" t="s">
        <v>10246</v>
      </c>
      <c r="N708" s="1" t="s">
        <v>8186</v>
      </c>
    </row>
    <row r="709" spans="1:14">
      <c r="A709" s="1" t="s">
        <v>2953</v>
      </c>
      <c r="B709" s="1" t="s">
        <v>2954</v>
      </c>
      <c r="C709" s="1" t="s">
        <v>2955</v>
      </c>
      <c r="D709" s="1" t="s">
        <v>3188</v>
      </c>
      <c r="E709" s="1" t="s">
        <v>10247</v>
      </c>
      <c r="F709" s="1" t="s">
        <v>2751</v>
      </c>
      <c r="G709" t="s">
        <v>10248</v>
      </c>
      <c r="H709">
        <v>114595</v>
      </c>
      <c r="I709" s="1" t="s">
        <v>2957</v>
      </c>
      <c r="J709" s="44" t="s">
        <v>2957</v>
      </c>
      <c r="K709" s="44" t="s">
        <v>5067</v>
      </c>
      <c r="L709" s="1" t="s">
        <v>10249</v>
      </c>
      <c r="M709" s="1" t="s">
        <v>7859</v>
      </c>
      <c r="N709" s="1" t="s">
        <v>8173</v>
      </c>
    </row>
    <row r="710" spans="1:14">
      <c r="A710" s="1" t="s">
        <v>1955</v>
      </c>
      <c r="B710" s="1" t="s">
        <v>1956</v>
      </c>
      <c r="C710" s="1" t="s">
        <v>987</v>
      </c>
      <c r="D710" s="1" t="s">
        <v>3193</v>
      </c>
      <c r="E710" s="1" t="s">
        <v>10250</v>
      </c>
      <c r="F710" s="1" t="s">
        <v>5017</v>
      </c>
      <c r="G710" t="s">
        <v>10251</v>
      </c>
      <c r="H710">
        <v>113496</v>
      </c>
      <c r="I710" s="1" t="s">
        <v>1958</v>
      </c>
      <c r="J710" s="44" t="s">
        <v>1958</v>
      </c>
      <c r="K710" s="44" t="s">
        <v>7718</v>
      </c>
      <c r="L710" s="1" t="s">
        <v>5688</v>
      </c>
      <c r="M710" s="1" t="s">
        <v>8010</v>
      </c>
      <c r="N710" s="1" t="s">
        <v>8483</v>
      </c>
    </row>
    <row r="711" spans="1:14">
      <c r="A711" s="1" t="s">
        <v>3018</v>
      </c>
      <c r="B711" s="1" t="s">
        <v>3019</v>
      </c>
      <c r="C711" s="1" t="s">
        <v>3020</v>
      </c>
      <c r="D711" s="1" t="s">
        <v>3199</v>
      </c>
      <c r="E711" s="1" t="s">
        <v>10252</v>
      </c>
      <c r="F711" s="1" t="s">
        <v>6750</v>
      </c>
      <c r="G711" t="s">
        <v>10253</v>
      </c>
      <c r="H711">
        <v>110472</v>
      </c>
      <c r="I711" s="1" t="s">
        <v>3022</v>
      </c>
      <c r="J711" s="44" t="s">
        <v>3022</v>
      </c>
      <c r="K711" s="44" t="s">
        <v>5067</v>
      </c>
      <c r="L711" s="1" t="s">
        <v>5914</v>
      </c>
      <c r="M711" s="1" t="s">
        <v>10254</v>
      </c>
      <c r="N711" s="1" t="s">
        <v>8173</v>
      </c>
    </row>
    <row r="712" spans="1:14">
      <c r="A712" s="1" t="s">
        <v>2789</v>
      </c>
      <c r="B712" s="1" t="s">
        <v>2790</v>
      </c>
      <c r="C712" s="1" t="s">
        <v>2791</v>
      </c>
      <c r="D712" s="1" t="s">
        <v>3204</v>
      </c>
      <c r="E712" s="1" t="s">
        <v>10255</v>
      </c>
      <c r="F712" s="1" t="s">
        <v>754</v>
      </c>
      <c r="G712" t="s">
        <v>10256</v>
      </c>
      <c r="H712">
        <v>110411</v>
      </c>
      <c r="I712" s="1" t="s">
        <v>2793</v>
      </c>
      <c r="J712" s="44" t="s">
        <v>2793</v>
      </c>
      <c r="K712" s="44" t="s">
        <v>5067</v>
      </c>
      <c r="L712" s="1" t="s">
        <v>10257</v>
      </c>
      <c r="M712" s="1" t="s">
        <v>7558</v>
      </c>
      <c r="N712" s="1" t="s">
        <v>8190</v>
      </c>
    </row>
    <row r="713" spans="1:14">
      <c r="A713" s="1" t="s">
        <v>3214</v>
      </c>
      <c r="B713" s="1" t="s">
        <v>3215</v>
      </c>
      <c r="C713" s="1" t="s">
        <v>3216</v>
      </c>
      <c r="D713" s="1" t="s">
        <v>3209</v>
      </c>
      <c r="E713" s="1" t="s">
        <v>10258</v>
      </c>
      <c r="F713" s="1" t="s">
        <v>7195</v>
      </c>
      <c r="G713" t="s">
        <v>10259</v>
      </c>
      <c r="H713">
        <v>109383</v>
      </c>
      <c r="I713" s="1" t="s">
        <v>10260</v>
      </c>
      <c r="J713" s="44" t="s">
        <v>10260</v>
      </c>
      <c r="K713" s="44" t="s">
        <v>7073</v>
      </c>
      <c r="L713" s="1" t="s">
        <v>7536</v>
      </c>
      <c r="M713" s="1" t="s">
        <v>10261</v>
      </c>
      <c r="N713" s="1" t="s">
        <v>8070</v>
      </c>
    </row>
    <row r="714" spans="1:14">
      <c r="A714" s="1" t="s">
        <v>2111</v>
      </c>
      <c r="B714" s="1" t="s">
        <v>2112</v>
      </c>
      <c r="C714" s="1" t="s">
        <v>2113</v>
      </c>
      <c r="D714" s="1" t="s">
        <v>3213</v>
      </c>
      <c r="E714" s="1" t="s">
        <v>10262</v>
      </c>
      <c r="F714" s="1" t="s">
        <v>10263</v>
      </c>
      <c r="G714" t="s">
        <v>10264</v>
      </c>
      <c r="H714">
        <v>108549</v>
      </c>
      <c r="I714" s="1" t="s">
        <v>2115</v>
      </c>
      <c r="J714" s="44" t="s">
        <v>2115</v>
      </c>
      <c r="K714" s="44" t="s">
        <v>5757</v>
      </c>
      <c r="L714" s="1" t="s">
        <v>7430</v>
      </c>
      <c r="M714" s="1" t="s">
        <v>7163</v>
      </c>
      <c r="N714" s="1" t="s">
        <v>8090</v>
      </c>
    </row>
    <row r="715" spans="1:14">
      <c r="A715" s="1" t="s">
        <v>2839</v>
      </c>
      <c r="B715" s="1" t="s">
        <v>2840</v>
      </c>
      <c r="C715" s="1" t="s">
        <v>2841</v>
      </c>
      <c r="D715" s="1" t="s">
        <v>3217</v>
      </c>
      <c r="E715" s="1" t="s">
        <v>10265</v>
      </c>
      <c r="F715" s="1" t="s">
        <v>7647</v>
      </c>
      <c r="G715" t="s">
        <v>10266</v>
      </c>
      <c r="H715">
        <v>107442</v>
      </c>
      <c r="I715" s="1" t="s">
        <v>1198</v>
      </c>
      <c r="J715" s="44" t="s">
        <v>2010</v>
      </c>
      <c r="K715" s="44" t="s">
        <v>5065</v>
      </c>
      <c r="L715" s="1"/>
      <c r="M715" s="1" t="s">
        <v>7313</v>
      </c>
      <c r="N715" s="1" t="s">
        <v>8396</v>
      </c>
    </row>
    <row r="716" spans="1:14">
      <c r="A716" s="1" t="s">
        <v>3132</v>
      </c>
      <c r="B716" s="1" t="s">
        <v>3133</v>
      </c>
      <c r="C716" s="1" t="s">
        <v>3134</v>
      </c>
      <c r="D716" s="1" t="s">
        <v>3221</v>
      </c>
      <c r="E716" s="1" t="s">
        <v>5509</v>
      </c>
      <c r="F716" s="1" t="s">
        <v>1261</v>
      </c>
      <c r="H716">
        <v>107320</v>
      </c>
      <c r="I716" s="1" t="s">
        <v>3136</v>
      </c>
      <c r="J716" s="44" t="s">
        <v>3136</v>
      </c>
      <c r="K716" s="44"/>
      <c r="L716" s="1"/>
      <c r="M716" s="1" t="s">
        <v>6467</v>
      </c>
      <c r="N716" s="1" t="s">
        <v>5510</v>
      </c>
    </row>
    <row r="717" spans="1:14">
      <c r="A717" s="1" t="s">
        <v>2958</v>
      </c>
      <c r="B717" s="1" t="s">
        <v>2959</v>
      </c>
      <c r="C717" s="1" t="s">
        <v>2960</v>
      </c>
      <c r="D717" s="1" t="s">
        <v>3227</v>
      </c>
      <c r="E717" s="1" t="s">
        <v>9978</v>
      </c>
      <c r="F717" s="1" t="s">
        <v>1709</v>
      </c>
      <c r="G717" t="s">
        <v>10267</v>
      </c>
      <c r="H717">
        <v>106327</v>
      </c>
      <c r="I717" s="1" t="s">
        <v>2962</v>
      </c>
      <c r="J717" s="44" t="s">
        <v>2962</v>
      </c>
      <c r="K717" s="44" t="s">
        <v>5001</v>
      </c>
      <c r="L717" s="1" t="s">
        <v>5681</v>
      </c>
      <c r="M717" s="1" t="s">
        <v>6644</v>
      </c>
      <c r="N717" s="1" t="s">
        <v>8190</v>
      </c>
    </row>
    <row r="718" spans="1:14">
      <c r="A718" s="1" t="s">
        <v>2194</v>
      </c>
      <c r="B718" s="1" t="s">
        <v>2195</v>
      </c>
      <c r="C718" s="1" t="s">
        <v>2196</v>
      </c>
      <c r="D718" s="1" t="s">
        <v>3232</v>
      </c>
      <c r="E718" s="1" t="s">
        <v>9782</v>
      </c>
      <c r="F718" s="1" t="s">
        <v>4999</v>
      </c>
      <c r="G718" t="s">
        <v>10268</v>
      </c>
      <c r="H718">
        <v>105839</v>
      </c>
      <c r="I718" s="1" t="s">
        <v>2198</v>
      </c>
      <c r="J718" s="44" t="s">
        <v>2198</v>
      </c>
      <c r="K718" s="44" t="s">
        <v>5067</v>
      </c>
      <c r="L718" s="1" t="s">
        <v>10269</v>
      </c>
      <c r="M718" s="1" t="s">
        <v>5524</v>
      </c>
      <c r="N718" s="1" t="s">
        <v>8107</v>
      </c>
    </row>
    <row r="719" spans="1:14">
      <c r="A719" s="1" t="s">
        <v>2891</v>
      </c>
      <c r="B719" s="1" t="s">
        <v>2892</v>
      </c>
      <c r="C719" s="1" t="s">
        <v>2893</v>
      </c>
      <c r="D719" s="1" t="s">
        <v>3237</v>
      </c>
      <c r="E719" s="1" t="s">
        <v>10270</v>
      </c>
      <c r="F719" s="1" t="s">
        <v>6605</v>
      </c>
      <c r="G719" t="s">
        <v>10271</v>
      </c>
      <c r="H719">
        <v>105400</v>
      </c>
      <c r="I719" s="1" t="s">
        <v>2895</v>
      </c>
      <c r="J719" s="44" t="s">
        <v>2895</v>
      </c>
      <c r="K719" s="44" t="s">
        <v>6139</v>
      </c>
      <c r="L719" s="1" t="s">
        <v>7929</v>
      </c>
      <c r="M719" s="1" t="s">
        <v>6924</v>
      </c>
      <c r="N719" s="1" t="s">
        <v>8186</v>
      </c>
    </row>
    <row r="720" spans="1:14">
      <c r="A720" s="1" t="s">
        <v>2912</v>
      </c>
      <c r="B720" s="1" t="s">
        <v>2913</v>
      </c>
      <c r="C720" s="1" t="s">
        <v>2914</v>
      </c>
      <c r="D720" s="1" t="s">
        <v>3242</v>
      </c>
      <c r="E720" s="1" t="s">
        <v>10272</v>
      </c>
      <c r="F720" s="1" t="s">
        <v>1321</v>
      </c>
      <c r="G720" t="s">
        <v>10273</v>
      </c>
      <c r="H720">
        <v>103241</v>
      </c>
      <c r="I720" s="1" t="s">
        <v>2916</v>
      </c>
      <c r="J720" s="44" t="s">
        <v>2916</v>
      </c>
      <c r="K720" s="44" t="s">
        <v>5128</v>
      </c>
      <c r="L720" s="1" t="s">
        <v>10274</v>
      </c>
      <c r="M720" s="1" t="s">
        <v>7202</v>
      </c>
      <c r="N720" s="1" t="s">
        <v>8085</v>
      </c>
    </row>
    <row r="721" spans="1:14">
      <c r="A721" s="1" t="s">
        <v>3001</v>
      </c>
      <c r="B721" s="1" t="s">
        <v>3002</v>
      </c>
      <c r="C721" s="1" t="s">
        <v>3003</v>
      </c>
      <c r="D721" s="1" t="s">
        <v>3246</v>
      </c>
      <c r="E721" s="1" t="s">
        <v>10275</v>
      </c>
      <c r="F721" s="1" t="s">
        <v>5899</v>
      </c>
      <c r="G721" t="s">
        <v>10276</v>
      </c>
      <c r="H721">
        <v>101821</v>
      </c>
      <c r="I721" s="1" t="s">
        <v>10277</v>
      </c>
      <c r="J721" s="44" t="s">
        <v>10277</v>
      </c>
      <c r="K721" s="44" t="s">
        <v>7678</v>
      </c>
      <c r="L721" s="1" t="s">
        <v>5998</v>
      </c>
      <c r="M721" s="1" t="s">
        <v>6647</v>
      </c>
      <c r="N721" s="1" t="s">
        <v>8112</v>
      </c>
    </row>
    <row r="722" spans="1:14">
      <c r="A722" s="1" t="s">
        <v>2826</v>
      </c>
      <c r="B722" s="1" t="s">
        <v>2827</v>
      </c>
      <c r="C722" s="1" t="s">
        <v>2828</v>
      </c>
      <c r="D722" s="1" t="s">
        <v>3251</v>
      </c>
      <c r="E722" s="1" t="s">
        <v>10278</v>
      </c>
      <c r="F722" s="1" t="s">
        <v>5594</v>
      </c>
      <c r="G722" t="s">
        <v>10279</v>
      </c>
      <c r="H722">
        <v>100959</v>
      </c>
      <c r="I722" s="1" t="s">
        <v>10280</v>
      </c>
      <c r="J722" s="44" t="s">
        <v>10280</v>
      </c>
      <c r="K722" s="44" t="s">
        <v>5399</v>
      </c>
      <c r="L722" s="1" t="s">
        <v>7114</v>
      </c>
      <c r="M722" s="1" t="s">
        <v>5875</v>
      </c>
      <c r="N722" s="1" t="s">
        <v>8173</v>
      </c>
    </row>
    <row r="723" spans="1:14">
      <c r="A723" s="1" t="s">
        <v>2930</v>
      </c>
      <c r="B723" s="1" t="s">
        <v>2931</v>
      </c>
      <c r="C723" s="1" t="s">
        <v>2932</v>
      </c>
      <c r="D723" s="1" t="s">
        <v>3256</v>
      </c>
      <c r="E723" s="1" t="s">
        <v>10281</v>
      </c>
      <c r="F723" s="1" t="s">
        <v>6555</v>
      </c>
      <c r="G723" t="s">
        <v>10282</v>
      </c>
      <c r="H723">
        <v>100714</v>
      </c>
      <c r="I723" s="1" t="s">
        <v>2935</v>
      </c>
      <c r="J723" s="44" t="s">
        <v>2935</v>
      </c>
      <c r="K723" s="44" t="s">
        <v>10283</v>
      </c>
      <c r="L723" s="1" t="s">
        <v>6643</v>
      </c>
      <c r="M723" s="1" t="s">
        <v>6912</v>
      </c>
      <c r="N723" s="1" t="s">
        <v>8107</v>
      </c>
    </row>
    <row r="724" spans="1:14">
      <c r="A724" s="1" t="s">
        <v>2886</v>
      </c>
      <c r="B724" s="1" t="s">
        <v>2887</v>
      </c>
      <c r="C724" s="1" t="s">
        <v>2888</v>
      </c>
      <c r="D724" s="1" t="s">
        <v>3259</v>
      </c>
      <c r="E724" s="1" t="s">
        <v>10284</v>
      </c>
      <c r="F724" s="1" t="s">
        <v>6338</v>
      </c>
      <c r="G724" t="s">
        <v>10285</v>
      </c>
      <c r="H724">
        <v>99095</v>
      </c>
      <c r="I724" s="1" t="s">
        <v>2890</v>
      </c>
      <c r="J724" s="44" t="s">
        <v>2890</v>
      </c>
      <c r="K724" s="44" t="s">
        <v>5001</v>
      </c>
      <c r="L724" s="1" t="s">
        <v>5985</v>
      </c>
      <c r="M724" s="1" t="s">
        <v>7042</v>
      </c>
      <c r="N724" s="1" t="s">
        <v>8074</v>
      </c>
    </row>
    <row r="725" spans="1:14">
      <c r="A725" s="1" t="s">
        <v>3452</v>
      </c>
      <c r="B725" s="1" t="s">
        <v>3453</v>
      </c>
      <c r="C725" s="1" t="s">
        <v>3454</v>
      </c>
      <c r="D725" s="1" t="s">
        <v>3265</v>
      </c>
      <c r="E725" s="1" t="s">
        <v>10286</v>
      </c>
      <c r="F725" s="1" t="s">
        <v>1261</v>
      </c>
      <c r="G725" t="s">
        <v>10287</v>
      </c>
      <c r="H725">
        <v>95841</v>
      </c>
      <c r="I725" s="1" t="s">
        <v>3456</v>
      </c>
      <c r="J725" s="44" t="s">
        <v>3456</v>
      </c>
      <c r="K725" s="44" t="s">
        <v>5067</v>
      </c>
      <c r="L725" s="1" t="s">
        <v>10288</v>
      </c>
      <c r="M725" s="1" t="s">
        <v>8024</v>
      </c>
      <c r="N725" s="1" t="s">
        <v>8396</v>
      </c>
    </row>
    <row r="726" spans="1:14">
      <c r="A726" s="1" t="s">
        <v>2734</v>
      </c>
      <c r="B726" s="1" t="s">
        <v>2735</v>
      </c>
      <c r="C726" s="1" t="s">
        <v>2736</v>
      </c>
      <c r="D726" s="1" t="s">
        <v>3270</v>
      </c>
      <c r="E726" s="1" t="s">
        <v>10289</v>
      </c>
      <c r="F726" s="1" t="s">
        <v>5811</v>
      </c>
      <c r="G726" t="s">
        <v>10290</v>
      </c>
      <c r="H726">
        <v>95625</v>
      </c>
      <c r="I726" s="1" t="s">
        <v>10291</v>
      </c>
      <c r="J726" s="44" t="s">
        <v>10291</v>
      </c>
      <c r="K726" s="44" t="s">
        <v>6340</v>
      </c>
      <c r="L726" s="1" t="s">
        <v>5890</v>
      </c>
      <c r="M726" s="1" t="s">
        <v>7446</v>
      </c>
      <c r="N726" s="1" t="s">
        <v>8085</v>
      </c>
    </row>
    <row r="727" spans="1:14">
      <c r="A727" s="1" t="s">
        <v>3160</v>
      </c>
      <c r="B727" s="1" t="s">
        <v>3161</v>
      </c>
      <c r="C727" s="1" t="s">
        <v>3161</v>
      </c>
      <c r="D727" s="1" t="s">
        <v>3276</v>
      </c>
      <c r="E727" s="1" t="s">
        <v>10292</v>
      </c>
      <c r="F727" s="1" t="s">
        <v>3898</v>
      </c>
      <c r="G727" t="s">
        <v>10293</v>
      </c>
      <c r="H727">
        <v>94497</v>
      </c>
      <c r="I727" s="1" t="s">
        <v>10294</v>
      </c>
      <c r="J727" s="44" t="s">
        <v>10294</v>
      </c>
      <c r="K727" s="44" t="s">
        <v>5067</v>
      </c>
      <c r="L727" s="1" t="s">
        <v>5836</v>
      </c>
      <c r="M727" s="1" t="s">
        <v>10295</v>
      </c>
      <c r="N727" s="1" t="s">
        <v>8133</v>
      </c>
    </row>
    <row r="728" spans="1:14">
      <c r="A728" s="1" t="s">
        <v>3291</v>
      </c>
      <c r="B728" s="1" t="s">
        <v>3292</v>
      </c>
      <c r="C728" s="1" t="s">
        <v>3293</v>
      </c>
      <c r="D728" s="1" t="s">
        <v>3281</v>
      </c>
      <c r="E728" s="1" t="s">
        <v>10296</v>
      </c>
      <c r="F728" s="1" t="s">
        <v>6751</v>
      </c>
      <c r="G728" t="s">
        <v>10297</v>
      </c>
      <c r="H728">
        <v>94306</v>
      </c>
      <c r="I728" s="1" t="s">
        <v>10298</v>
      </c>
      <c r="J728" s="44" t="s">
        <v>10298</v>
      </c>
      <c r="K728" s="44" t="s">
        <v>5065</v>
      </c>
      <c r="L728" s="1" t="s">
        <v>5923</v>
      </c>
      <c r="M728" s="1" t="s">
        <v>8011</v>
      </c>
      <c r="N728" s="1" t="s">
        <v>8085</v>
      </c>
    </row>
    <row r="729" spans="1:14">
      <c r="A729" s="1" t="s">
        <v>3023</v>
      </c>
      <c r="B729" s="1" t="s">
        <v>3024</v>
      </c>
      <c r="C729" s="1" t="s">
        <v>3025</v>
      </c>
      <c r="D729" s="1" t="s">
        <v>3285</v>
      </c>
      <c r="E729" s="1" t="s">
        <v>10299</v>
      </c>
      <c r="F729" s="1" t="s">
        <v>1709</v>
      </c>
      <c r="G729" t="s">
        <v>10300</v>
      </c>
      <c r="H729">
        <v>93854</v>
      </c>
      <c r="I729" s="1" t="s">
        <v>6752</v>
      </c>
      <c r="J729" s="44" t="s">
        <v>6752</v>
      </c>
      <c r="K729" s="44" t="s">
        <v>5048</v>
      </c>
      <c r="L729" s="1" t="s">
        <v>6427</v>
      </c>
      <c r="M729" s="1" t="s">
        <v>5680</v>
      </c>
      <c r="N729" s="1" t="s">
        <v>8070</v>
      </c>
    </row>
    <row r="730" spans="1:14">
      <c r="A730" s="1" t="s">
        <v>2986</v>
      </c>
      <c r="B730" s="1" t="s">
        <v>2987</v>
      </c>
      <c r="C730" s="1" t="s">
        <v>2988</v>
      </c>
      <c r="D730" s="1" t="s">
        <v>3290</v>
      </c>
      <c r="E730" s="1" t="s">
        <v>10301</v>
      </c>
      <c r="F730" s="1" t="s">
        <v>2995</v>
      </c>
      <c r="G730" t="s">
        <v>10302</v>
      </c>
      <c r="H730">
        <v>92880</v>
      </c>
      <c r="I730" s="1" t="s">
        <v>2990</v>
      </c>
      <c r="J730" s="44" t="s">
        <v>2990</v>
      </c>
      <c r="K730" s="44" t="s">
        <v>5112</v>
      </c>
      <c r="L730" s="1" t="s">
        <v>7552</v>
      </c>
      <c r="M730" s="1" t="s">
        <v>7876</v>
      </c>
      <c r="N730" s="1" t="s">
        <v>8070</v>
      </c>
    </row>
    <row r="731" spans="1:14">
      <c r="A731" s="1" t="s">
        <v>3102</v>
      </c>
      <c r="B731" s="1" t="s">
        <v>3103</v>
      </c>
      <c r="C731" s="1" t="s">
        <v>3104</v>
      </c>
      <c r="D731" s="1" t="s">
        <v>3294</v>
      </c>
      <c r="E731" s="1" t="s">
        <v>10303</v>
      </c>
      <c r="F731" s="1" t="s">
        <v>6941</v>
      </c>
      <c r="G731" t="s">
        <v>10304</v>
      </c>
      <c r="H731">
        <v>92488</v>
      </c>
      <c r="I731" s="1" t="s">
        <v>3106</v>
      </c>
      <c r="J731" s="44" t="s">
        <v>3106</v>
      </c>
      <c r="K731" s="44" t="s">
        <v>7125</v>
      </c>
      <c r="L731" s="1" t="s">
        <v>7442</v>
      </c>
      <c r="M731" s="1" t="s">
        <v>7132</v>
      </c>
      <c r="N731" s="1" t="s">
        <v>8190</v>
      </c>
    </row>
    <row r="732" spans="1:14">
      <c r="A732" s="1" t="s">
        <v>3035</v>
      </c>
      <c r="B732" s="1" t="s">
        <v>3036</v>
      </c>
      <c r="C732" s="1" t="s">
        <v>3037</v>
      </c>
      <c r="D732" s="1" t="s">
        <v>3298</v>
      </c>
      <c r="E732" s="1" t="s">
        <v>5957</v>
      </c>
      <c r="F732" s="1" t="s">
        <v>1709</v>
      </c>
      <c r="H732">
        <v>87603</v>
      </c>
      <c r="I732" s="1" t="s">
        <v>3039</v>
      </c>
      <c r="J732" s="44" t="s">
        <v>3039</v>
      </c>
      <c r="K732" s="44"/>
      <c r="L732" s="1" t="s">
        <v>5064</v>
      </c>
      <c r="M732" s="1" t="s">
        <v>5782</v>
      </c>
      <c r="N732" s="1" t="s">
        <v>5959</v>
      </c>
    </row>
    <row r="733" spans="1:14">
      <c r="A733" s="1" t="s">
        <v>3253</v>
      </c>
      <c r="B733" s="1" t="s">
        <v>3254</v>
      </c>
      <c r="C733" s="1" t="s">
        <v>3255</v>
      </c>
      <c r="D733" s="1" t="s">
        <v>3303</v>
      </c>
      <c r="E733" s="1" t="s">
        <v>10305</v>
      </c>
      <c r="F733" s="1" t="s">
        <v>7877</v>
      </c>
      <c r="G733" t="s">
        <v>10306</v>
      </c>
      <c r="H733">
        <v>87038</v>
      </c>
      <c r="I733" s="1" t="s">
        <v>10307</v>
      </c>
      <c r="J733" s="44" t="s">
        <v>10307</v>
      </c>
      <c r="K733" s="44" t="s">
        <v>6582</v>
      </c>
      <c r="L733" s="1" t="s">
        <v>7972</v>
      </c>
      <c r="M733" s="1" t="s">
        <v>7606</v>
      </c>
      <c r="N733" s="1" t="s">
        <v>8483</v>
      </c>
    </row>
    <row r="734" spans="1:14">
      <c r="A734" s="1" t="s">
        <v>2172</v>
      </c>
      <c r="B734" s="1" t="s">
        <v>2173</v>
      </c>
      <c r="C734" s="1" t="s">
        <v>2174</v>
      </c>
      <c r="D734" s="1" t="s">
        <v>3307</v>
      </c>
      <c r="E734" s="1" t="s">
        <v>10308</v>
      </c>
      <c r="F734" s="1" t="s">
        <v>6753</v>
      </c>
      <c r="G734" t="s">
        <v>10309</v>
      </c>
      <c r="H734">
        <v>86568</v>
      </c>
      <c r="I734" s="1" t="s">
        <v>10310</v>
      </c>
      <c r="J734" s="44" t="s">
        <v>10310</v>
      </c>
      <c r="K734" s="44" t="s">
        <v>5492</v>
      </c>
      <c r="L734" s="1" t="s">
        <v>7389</v>
      </c>
      <c r="M734" s="1" t="s">
        <v>6682</v>
      </c>
      <c r="N734" s="1" t="s">
        <v>8162</v>
      </c>
    </row>
    <row r="735" spans="1:14">
      <c r="A735" s="1" t="s">
        <v>3234</v>
      </c>
      <c r="B735" s="1" t="s">
        <v>3235</v>
      </c>
      <c r="C735" s="1" t="s">
        <v>3236</v>
      </c>
      <c r="D735" s="1" t="s">
        <v>3311</v>
      </c>
      <c r="E735" s="1" t="s">
        <v>10311</v>
      </c>
      <c r="F735" s="1" t="s">
        <v>6341</v>
      </c>
      <c r="G735" t="s">
        <v>10312</v>
      </c>
      <c r="H735">
        <v>85467</v>
      </c>
      <c r="I735" s="1" t="s">
        <v>3238</v>
      </c>
      <c r="J735" s="44" t="s">
        <v>3238</v>
      </c>
      <c r="K735" s="44" t="s">
        <v>5067</v>
      </c>
      <c r="L735" s="1" t="s">
        <v>7473</v>
      </c>
      <c r="M735" s="1" t="s">
        <v>10313</v>
      </c>
      <c r="N735" s="1" t="s">
        <v>8133</v>
      </c>
    </row>
    <row r="736" spans="1:14">
      <c r="A736" s="1" t="s">
        <v>3316</v>
      </c>
      <c r="B736" s="1" t="s">
        <v>3317</v>
      </c>
      <c r="C736" s="1" t="s">
        <v>3318</v>
      </c>
      <c r="D736" s="1" t="s">
        <v>3315</v>
      </c>
      <c r="E736" s="1" t="s">
        <v>10314</v>
      </c>
      <c r="F736" s="1" t="s">
        <v>6342</v>
      </c>
      <c r="G736" t="s">
        <v>10315</v>
      </c>
      <c r="H736">
        <v>81062</v>
      </c>
      <c r="I736" s="1" t="s">
        <v>4951</v>
      </c>
      <c r="J736" s="44" t="s">
        <v>4951</v>
      </c>
      <c r="K736" s="44" t="s">
        <v>5001</v>
      </c>
      <c r="L736" s="1" t="s">
        <v>9162</v>
      </c>
      <c r="M736" s="1" t="s">
        <v>7161</v>
      </c>
      <c r="N736" s="1" t="s">
        <v>8065</v>
      </c>
    </row>
    <row r="737" spans="1:14">
      <c r="A737" s="1" t="s">
        <v>3127</v>
      </c>
      <c r="B737" s="1" t="s">
        <v>3128</v>
      </c>
      <c r="C737" s="1" t="s">
        <v>3129</v>
      </c>
      <c r="D737" s="1" t="s">
        <v>3319</v>
      </c>
      <c r="E737" s="1" t="s">
        <v>10316</v>
      </c>
      <c r="F737" s="1" t="s">
        <v>3168</v>
      </c>
      <c r="G737" t="s">
        <v>10317</v>
      </c>
      <c r="H737">
        <v>80430</v>
      </c>
      <c r="I737" s="1" t="s">
        <v>3131</v>
      </c>
      <c r="J737" s="44" t="s">
        <v>3131</v>
      </c>
      <c r="K737" s="44" t="s">
        <v>5401</v>
      </c>
      <c r="L737" s="1" t="s">
        <v>6538</v>
      </c>
      <c r="M737" s="1" t="s">
        <v>7359</v>
      </c>
      <c r="N737" s="1" t="s">
        <v>8173</v>
      </c>
    </row>
    <row r="738" spans="1:14">
      <c r="A738" s="1" t="s">
        <v>3196</v>
      </c>
      <c r="B738" s="1" t="s">
        <v>3197</v>
      </c>
      <c r="C738" s="1" t="s">
        <v>3198</v>
      </c>
      <c r="D738" s="1" t="s">
        <v>3323</v>
      </c>
      <c r="E738" s="1" t="s">
        <v>10318</v>
      </c>
      <c r="F738" s="1" t="s">
        <v>6344</v>
      </c>
      <c r="G738" t="s">
        <v>10319</v>
      </c>
      <c r="H738">
        <v>78784</v>
      </c>
      <c r="I738" s="1" t="s">
        <v>3200</v>
      </c>
      <c r="J738" s="44" t="s">
        <v>3200</v>
      </c>
      <c r="K738" s="44" t="s">
        <v>5001</v>
      </c>
      <c r="L738" s="1" t="s">
        <v>6979</v>
      </c>
      <c r="M738" s="1" t="s">
        <v>10320</v>
      </c>
      <c r="N738" s="1" t="s">
        <v>8152</v>
      </c>
    </row>
    <row r="739" spans="1:14">
      <c r="A739" s="1" t="s">
        <v>3628</v>
      </c>
      <c r="B739" s="1" t="s">
        <v>3629</v>
      </c>
      <c r="C739" s="1" t="s">
        <v>3630</v>
      </c>
      <c r="D739" s="1" t="s">
        <v>3327</v>
      </c>
      <c r="E739" s="1" t="s">
        <v>10321</v>
      </c>
      <c r="F739" s="1" t="s">
        <v>6754</v>
      </c>
      <c r="G739" t="s">
        <v>10322</v>
      </c>
      <c r="H739">
        <v>77597</v>
      </c>
      <c r="I739" s="1" t="s">
        <v>3632</v>
      </c>
      <c r="J739" s="44" t="s">
        <v>3632</v>
      </c>
      <c r="K739" s="44" t="s">
        <v>5067</v>
      </c>
      <c r="L739" s="1" t="s">
        <v>7581</v>
      </c>
      <c r="M739" s="1" t="s">
        <v>10323</v>
      </c>
      <c r="N739" s="1" t="s">
        <v>8152</v>
      </c>
    </row>
    <row r="740" spans="1:14">
      <c r="A740" s="1" t="s">
        <v>3379</v>
      </c>
      <c r="B740" s="1" t="s">
        <v>3380</v>
      </c>
      <c r="C740" s="1" t="s">
        <v>3381</v>
      </c>
      <c r="D740" s="1" t="s">
        <v>3331</v>
      </c>
      <c r="E740" s="1" t="s">
        <v>10324</v>
      </c>
      <c r="F740" s="1" t="s">
        <v>6345</v>
      </c>
      <c r="G740" t="s">
        <v>10325</v>
      </c>
      <c r="H740">
        <v>77555</v>
      </c>
      <c r="I740" s="1" t="s">
        <v>3383</v>
      </c>
      <c r="J740" s="44" t="s">
        <v>3383</v>
      </c>
      <c r="K740" s="44" t="s">
        <v>5067</v>
      </c>
      <c r="L740" s="1" t="s">
        <v>7168</v>
      </c>
      <c r="M740" s="1" t="s">
        <v>7230</v>
      </c>
      <c r="N740" s="1" t="s">
        <v>8152</v>
      </c>
    </row>
    <row r="741" spans="1:14">
      <c r="A741" s="1" t="s">
        <v>3057</v>
      </c>
      <c r="B741" s="1" t="s">
        <v>3058</v>
      </c>
      <c r="C741" s="1" t="s">
        <v>3059</v>
      </c>
      <c r="D741" s="1" t="s">
        <v>3336</v>
      </c>
      <c r="E741" s="1" t="s">
        <v>5962</v>
      </c>
      <c r="F741" s="1" t="s">
        <v>5711</v>
      </c>
      <c r="H741">
        <v>77440</v>
      </c>
      <c r="I741" s="1" t="s">
        <v>5712</v>
      </c>
      <c r="J741" s="44" t="s">
        <v>5712</v>
      </c>
      <c r="K741" s="44"/>
      <c r="L741" s="1" t="s">
        <v>5764</v>
      </c>
      <c r="M741" s="1"/>
      <c r="N741" s="1" t="s">
        <v>5963</v>
      </c>
    </row>
    <row r="742" spans="1:14">
      <c r="A742" s="1" t="s">
        <v>2971</v>
      </c>
      <c r="B742" s="1" t="s">
        <v>2972</v>
      </c>
      <c r="C742" s="1" t="s">
        <v>2973</v>
      </c>
      <c r="D742" s="1" t="s">
        <v>3341</v>
      </c>
      <c r="E742" s="1" t="s">
        <v>7181</v>
      </c>
      <c r="F742" s="1" t="s">
        <v>7878</v>
      </c>
      <c r="G742" t="s">
        <v>10326</v>
      </c>
      <c r="H742">
        <v>76552</v>
      </c>
      <c r="I742" s="1" t="s">
        <v>5960</v>
      </c>
      <c r="J742" s="44" t="s">
        <v>5960</v>
      </c>
      <c r="K742" s="44" t="s">
        <v>5375</v>
      </c>
      <c r="L742" s="1" t="s">
        <v>6819</v>
      </c>
      <c r="M742" s="1" t="s">
        <v>7387</v>
      </c>
      <c r="N742" s="1" t="s">
        <v>8263</v>
      </c>
    </row>
    <row r="743" spans="1:14">
      <c r="A743" s="1" t="s">
        <v>3098</v>
      </c>
      <c r="B743" s="1" t="s">
        <v>3099</v>
      </c>
      <c r="C743" s="1" t="s">
        <v>3100</v>
      </c>
      <c r="D743" s="1" t="s">
        <v>3345</v>
      </c>
      <c r="E743" s="1" t="s">
        <v>10327</v>
      </c>
      <c r="F743" s="1" t="s">
        <v>10328</v>
      </c>
      <c r="G743" t="s">
        <v>10329</v>
      </c>
      <c r="H743">
        <v>75575</v>
      </c>
      <c r="I743" s="1" t="s">
        <v>10330</v>
      </c>
      <c r="J743" s="44" t="s">
        <v>10330</v>
      </c>
      <c r="K743" s="44" t="s">
        <v>5386</v>
      </c>
      <c r="L743" s="1" t="s">
        <v>7880</v>
      </c>
      <c r="M743" s="1" t="s">
        <v>7008</v>
      </c>
      <c r="N743" s="1" t="s">
        <v>8137</v>
      </c>
    </row>
    <row r="744" spans="1:14">
      <c r="A744" s="1" t="s">
        <v>3248</v>
      </c>
      <c r="B744" s="1" t="s">
        <v>3249</v>
      </c>
      <c r="C744" s="1" t="s">
        <v>3250</v>
      </c>
      <c r="D744" s="1" t="s">
        <v>3349</v>
      </c>
      <c r="E744" s="1" t="s">
        <v>10008</v>
      </c>
      <c r="F744" s="1" t="s">
        <v>6300</v>
      </c>
      <c r="G744" t="s">
        <v>10331</v>
      </c>
      <c r="H744">
        <v>74919</v>
      </c>
      <c r="I744" s="1" t="s">
        <v>3252</v>
      </c>
      <c r="J744" s="44" t="s">
        <v>3252</v>
      </c>
      <c r="K744" s="44" t="s">
        <v>5067</v>
      </c>
      <c r="L744" s="1" t="s">
        <v>8022</v>
      </c>
      <c r="M744" s="1" t="s">
        <v>7704</v>
      </c>
      <c r="N744" s="1" t="s">
        <v>8190</v>
      </c>
    </row>
    <row r="745" spans="1:14">
      <c r="A745" s="1" t="s">
        <v>3418</v>
      </c>
      <c r="B745" s="1" t="s">
        <v>3419</v>
      </c>
      <c r="C745" s="1" t="s">
        <v>3420</v>
      </c>
      <c r="D745" s="1" t="s">
        <v>3353</v>
      </c>
      <c r="E745" s="1" t="s">
        <v>10332</v>
      </c>
      <c r="F745" s="1" t="s">
        <v>2901</v>
      </c>
      <c r="G745" t="s">
        <v>10333</v>
      </c>
      <c r="H745">
        <v>74804</v>
      </c>
      <c r="I745" s="1" t="s">
        <v>3422</v>
      </c>
      <c r="J745" s="44" t="s">
        <v>3423</v>
      </c>
      <c r="K745" s="44" t="s">
        <v>5067</v>
      </c>
      <c r="L745" s="1" t="s">
        <v>7420</v>
      </c>
      <c r="M745" s="1" t="s">
        <v>7176</v>
      </c>
      <c r="N745" s="1" t="s">
        <v>8107</v>
      </c>
    </row>
    <row r="746" spans="1:14">
      <c r="A746" s="1" t="s">
        <v>2924</v>
      </c>
      <c r="B746" s="1" t="s">
        <v>2925</v>
      </c>
      <c r="C746" s="1" t="s">
        <v>2926</v>
      </c>
      <c r="D746" s="1" t="s">
        <v>3354</v>
      </c>
      <c r="E746" s="1" t="s">
        <v>10334</v>
      </c>
      <c r="F746" s="1" t="s">
        <v>5964</v>
      </c>
      <c r="G746" t="s">
        <v>10335</v>
      </c>
      <c r="H746">
        <v>74677</v>
      </c>
      <c r="I746" s="1" t="s">
        <v>2928</v>
      </c>
      <c r="J746" s="44" t="s">
        <v>2929</v>
      </c>
      <c r="K746" s="44" t="s">
        <v>5067</v>
      </c>
      <c r="L746" s="1" t="s">
        <v>6632</v>
      </c>
      <c r="M746" s="1"/>
      <c r="N746" s="1" t="s">
        <v>8137</v>
      </c>
    </row>
    <row r="747" spans="1:14">
      <c r="A747" s="1" t="s">
        <v>2855</v>
      </c>
      <c r="B747" s="1" t="s">
        <v>2856</v>
      </c>
      <c r="C747" s="1" t="s">
        <v>2857</v>
      </c>
      <c r="D747" s="1" t="s">
        <v>3359</v>
      </c>
      <c r="E747" s="1" t="s">
        <v>10336</v>
      </c>
      <c r="F747" s="1" t="s">
        <v>5918</v>
      </c>
      <c r="G747" t="s">
        <v>10337</v>
      </c>
      <c r="H747">
        <v>74591</v>
      </c>
      <c r="I747" s="1" t="s">
        <v>2859</v>
      </c>
      <c r="J747" s="44" t="s">
        <v>2859</v>
      </c>
      <c r="K747" s="44" t="s">
        <v>5001</v>
      </c>
      <c r="L747" s="1" t="s">
        <v>7885</v>
      </c>
      <c r="M747" s="1" t="s">
        <v>10338</v>
      </c>
      <c r="N747" s="1" t="s">
        <v>8085</v>
      </c>
    </row>
    <row r="748" spans="1:14">
      <c r="A748" s="1" t="s">
        <v>2864</v>
      </c>
      <c r="B748" s="1" t="s">
        <v>2865</v>
      </c>
      <c r="C748" s="1" t="s">
        <v>2866</v>
      </c>
      <c r="D748" s="1" t="s">
        <v>3363</v>
      </c>
      <c r="E748" s="1" t="s">
        <v>10339</v>
      </c>
      <c r="F748" s="1" t="s">
        <v>2478</v>
      </c>
      <c r="G748" t="s">
        <v>10340</v>
      </c>
      <c r="H748">
        <v>74233</v>
      </c>
      <c r="I748" s="1" t="s">
        <v>2869</v>
      </c>
      <c r="J748" s="44" t="s">
        <v>2869</v>
      </c>
      <c r="K748" s="44" t="s">
        <v>5067</v>
      </c>
      <c r="L748" s="1" t="s">
        <v>10341</v>
      </c>
      <c r="M748" s="1" t="s">
        <v>10342</v>
      </c>
      <c r="N748" s="1" t="s">
        <v>8162</v>
      </c>
    </row>
    <row r="749" spans="1:14">
      <c r="A749" s="1" t="s">
        <v>3569</v>
      </c>
      <c r="B749" s="1" t="s">
        <v>3570</v>
      </c>
      <c r="C749" s="1" t="s">
        <v>3571</v>
      </c>
      <c r="D749" s="1" t="s">
        <v>3368</v>
      </c>
      <c r="E749" s="1" t="s">
        <v>10343</v>
      </c>
      <c r="F749" s="1" t="s">
        <v>5576</v>
      </c>
      <c r="G749" t="s">
        <v>10344</v>
      </c>
      <c r="H749">
        <v>69975</v>
      </c>
      <c r="I749" s="1" t="s">
        <v>10345</v>
      </c>
      <c r="J749" s="44" t="s">
        <v>10346</v>
      </c>
      <c r="K749" s="44" t="s">
        <v>5713</v>
      </c>
      <c r="L749" s="1" t="s">
        <v>10347</v>
      </c>
      <c r="M749" s="1" t="s">
        <v>10348</v>
      </c>
      <c r="N749" s="1" t="s">
        <v>8121</v>
      </c>
    </row>
    <row r="750" spans="1:14">
      <c r="A750" s="1" t="s">
        <v>2921</v>
      </c>
      <c r="B750" s="1" t="s">
        <v>2922</v>
      </c>
      <c r="C750" s="1" t="s">
        <v>993</v>
      </c>
      <c r="D750" s="1" t="s">
        <v>3372</v>
      </c>
      <c r="E750" s="1" t="s">
        <v>10349</v>
      </c>
      <c r="F750" s="1" t="s">
        <v>6035</v>
      </c>
      <c r="G750" t="s">
        <v>10350</v>
      </c>
      <c r="H750">
        <v>69271</v>
      </c>
      <c r="I750" s="1" t="s">
        <v>6756</v>
      </c>
      <c r="J750" s="44" t="s">
        <v>6756</v>
      </c>
      <c r="K750" s="44" t="s">
        <v>5067</v>
      </c>
      <c r="L750" s="1" t="s">
        <v>6124</v>
      </c>
      <c r="M750" s="1" t="s">
        <v>7336</v>
      </c>
      <c r="N750" s="1" t="s">
        <v>8074</v>
      </c>
    </row>
    <row r="751" spans="1:14">
      <c r="A751" s="1" t="s">
        <v>2176</v>
      </c>
      <c r="B751" s="1" t="s">
        <v>2177</v>
      </c>
      <c r="C751" s="1" t="s">
        <v>2178</v>
      </c>
      <c r="D751" s="1" t="s">
        <v>3377</v>
      </c>
      <c r="E751" s="1" t="s">
        <v>10351</v>
      </c>
      <c r="F751" s="1" t="s">
        <v>5965</v>
      </c>
      <c r="G751" t="s">
        <v>10352</v>
      </c>
      <c r="H751">
        <v>69084</v>
      </c>
      <c r="I751" s="1" t="s">
        <v>2180</v>
      </c>
      <c r="J751" s="44" t="s">
        <v>2181</v>
      </c>
      <c r="K751" s="44" t="s">
        <v>5001</v>
      </c>
      <c r="L751" s="1" t="s">
        <v>10353</v>
      </c>
      <c r="M751" s="1" t="s">
        <v>10354</v>
      </c>
      <c r="N751" s="1" t="s">
        <v>8137</v>
      </c>
    </row>
    <row r="752" spans="1:14">
      <c r="A752" s="1" t="s">
        <v>3066</v>
      </c>
      <c r="B752" s="1" t="s">
        <v>3067</v>
      </c>
      <c r="C752" s="1" t="s">
        <v>3068</v>
      </c>
      <c r="D752" s="1" t="s">
        <v>3382</v>
      </c>
      <c r="E752" s="1" t="s">
        <v>10355</v>
      </c>
      <c r="F752" s="1" t="s">
        <v>5561</v>
      </c>
      <c r="G752" t="s">
        <v>10356</v>
      </c>
      <c r="H752">
        <v>68951</v>
      </c>
      <c r="I752" s="1" t="s">
        <v>5961</v>
      </c>
      <c r="J752" s="44" t="s">
        <v>5961</v>
      </c>
      <c r="K752" s="44" t="s">
        <v>6649</v>
      </c>
      <c r="L752" s="1" t="s">
        <v>6994</v>
      </c>
      <c r="M752" s="1" t="s">
        <v>7254</v>
      </c>
      <c r="N752" s="1" t="s">
        <v>8263</v>
      </c>
    </row>
    <row r="753" spans="1:14">
      <c r="A753" s="1" t="s">
        <v>3257</v>
      </c>
      <c r="B753" s="1" t="s">
        <v>3258</v>
      </c>
      <c r="C753" s="1" t="s">
        <v>2095</v>
      </c>
      <c r="D753" s="1" t="s">
        <v>3387</v>
      </c>
      <c r="E753" s="1" t="s">
        <v>10357</v>
      </c>
      <c r="F753" s="1" t="s">
        <v>6286</v>
      </c>
      <c r="G753" t="s">
        <v>10358</v>
      </c>
      <c r="H753">
        <v>68371</v>
      </c>
      <c r="I753" s="1" t="s">
        <v>3260</v>
      </c>
      <c r="J753" s="44" t="s">
        <v>3261</v>
      </c>
      <c r="K753" s="44" t="s">
        <v>6105</v>
      </c>
      <c r="L753" s="1" t="s">
        <v>5876</v>
      </c>
      <c r="M753" s="1" t="s">
        <v>7244</v>
      </c>
      <c r="N753" s="1" t="s">
        <v>8263</v>
      </c>
    </row>
    <row r="754" spans="1:14">
      <c r="A754" s="1" t="s">
        <v>2991</v>
      </c>
      <c r="B754" s="1" t="s">
        <v>2992</v>
      </c>
      <c r="C754" s="1" t="s">
        <v>2993</v>
      </c>
      <c r="D754" s="1" t="s">
        <v>3392</v>
      </c>
      <c r="E754" s="1" t="s">
        <v>10359</v>
      </c>
      <c r="F754" s="1" t="s">
        <v>3522</v>
      </c>
      <c r="G754" t="s">
        <v>10360</v>
      </c>
      <c r="H754">
        <v>68120</v>
      </c>
      <c r="I754" s="1" t="s">
        <v>2996</v>
      </c>
      <c r="J754" s="44" t="s">
        <v>2996</v>
      </c>
      <c r="K754" s="44" t="s">
        <v>5067</v>
      </c>
      <c r="L754" s="1" t="s">
        <v>5407</v>
      </c>
      <c r="M754" s="1" t="s">
        <v>5886</v>
      </c>
      <c r="N754" s="1" t="s">
        <v>8085</v>
      </c>
    </row>
    <row r="755" spans="1:14">
      <c r="A755" s="1" t="s">
        <v>3155</v>
      </c>
      <c r="B755" s="1" t="s">
        <v>3156</v>
      </c>
      <c r="C755" s="1" t="s">
        <v>3157</v>
      </c>
      <c r="D755" s="1" t="s">
        <v>3397</v>
      </c>
      <c r="E755" s="1" t="s">
        <v>10361</v>
      </c>
      <c r="F755" s="1" t="s">
        <v>5576</v>
      </c>
      <c r="G755" t="s">
        <v>10362</v>
      </c>
      <c r="H755">
        <v>66838</v>
      </c>
      <c r="I755" s="1" t="s">
        <v>3159</v>
      </c>
      <c r="J755" s="44" t="s">
        <v>3159</v>
      </c>
      <c r="K755" s="44" t="s">
        <v>5067</v>
      </c>
      <c r="L755" s="1" t="s">
        <v>6998</v>
      </c>
      <c r="M755" s="1" t="s">
        <v>10363</v>
      </c>
      <c r="N755" s="1" t="s">
        <v>8085</v>
      </c>
    </row>
    <row r="756" spans="1:14">
      <c r="A756" s="1" t="s">
        <v>2232</v>
      </c>
      <c r="B756" s="1" t="s">
        <v>2233</v>
      </c>
      <c r="C756" s="1" t="s">
        <v>2234</v>
      </c>
      <c r="D756" s="1" t="s">
        <v>3401</v>
      </c>
      <c r="E756" s="1" t="s">
        <v>10364</v>
      </c>
      <c r="F756" s="1" t="s">
        <v>2236</v>
      </c>
      <c r="G756" t="s">
        <v>10365</v>
      </c>
      <c r="H756">
        <v>66195</v>
      </c>
      <c r="I756" s="1" t="s">
        <v>2237</v>
      </c>
      <c r="J756" s="44" t="s">
        <v>2237</v>
      </c>
      <c r="K756" s="44" t="s">
        <v>5067</v>
      </c>
      <c r="L756" s="1" t="s">
        <v>6563</v>
      </c>
      <c r="M756" s="1" t="s">
        <v>7563</v>
      </c>
      <c r="N756" s="1" t="s">
        <v>8263</v>
      </c>
    </row>
    <row r="757" spans="1:14">
      <c r="A757" s="1" t="s">
        <v>3052</v>
      </c>
      <c r="B757" s="1" t="s">
        <v>3053</v>
      </c>
      <c r="C757" s="1" t="s">
        <v>3054</v>
      </c>
      <c r="D757" s="1" t="s">
        <v>3406</v>
      </c>
      <c r="E757" s="1" t="s">
        <v>10366</v>
      </c>
      <c r="F757" s="1" t="s">
        <v>5999</v>
      </c>
      <c r="G757" t="s">
        <v>10367</v>
      </c>
      <c r="H757">
        <v>65896</v>
      </c>
      <c r="I757" s="1" t="s">
        <v>3056</v>
      </c>
      <c r="J757" s="44" t="s">
        <v>3056</v>
      </c>
      <c r="K757" s="44" t="s">
        <v>7971</v>
      </c>
      <c r="L757" s="1" t="s">
        <v>6470</v>
      </c>
      <c r="M757" s="1" t="s">
        <v>6654</v>
      </c>
      <c r="N757" s="1" t="s">
        <v>8133</v>
      </c>
    </row>
    <row r="758" spans="1:14">
      <c r="A758" s="1" t="s">
        <v>3027</v>
      </c>
      <c r="B758" s="1" t="s">
        <v>3028</v>
      </c>
      <c r="C758" s="1" t="s">
        <v>3029</v>
      </c>
      <c r="D758" s="1" t="s">
        <v>3408</v>
      </c>
      <c r="E758" s="1" t="s">
        <v>10368</v>
      </c>
      <c r="F758" s="1" t="s">
        <v>2220</v>
      </c>
      <c r="G758" t="s">
        <v>10369</v>
      </c>
      <c r="H758">
        <v>64801</v>
      </c>
      <c r="I758" s="1" t="s">
        <v>10370</v>
      </c>
      <c r="J758" s="44" t="s">
        <v>10370</v>
      </c>
      <c r="K758" s="44" t="s">
        <v>5001</v>
      </c>
      <c r="L758" s="1" t="s">
        <v>7093</v>
      </c>
      <c r="M758" s="1" t="s">
        <v>7843</v>
      </c>
      <c r="N758" s="1" t="s">
        <v>8133</v>
      </c>
    </row>
    <row r="759" spans="1:14">
      <c r="A759" s="1" t="s">
        <v>2794</v>
      </c>
      <c r="B759" s="1" t="s">
        <v>2795</v>
      </c>
      <c r="C759" s="1" t="s">
        <v>2796</v>
      </c>
      <c r="D759" s="1" t="s">
        <v>3411</v>
      </c>
      <c r="E759" s="1" t="s">
        <v>10371</v>
      </c>
      <c r="F759" s="1" t="s">
        <v>6577</v>
      </c>
      <c r="G759" t="s">
        <v>10372</v>
      </c>
      <c r="H759">
        <v>63991</v>
      </c>
      <c r="I759" s="1" t="s">
        <v>10373</v>
      </c>
      <c r="J759" s="44" t="s">
        <v>10373</v>
      </c>
      <c r="K759" s="44" t="s">
        <v>5759</v>
      </c>
      <c r="L759" s="1" t="s">
        <v>6167</v>
      </c>
      <c r="M759" s="1" t="s">
        <v>10374</v>
      </c>
      <c r="N759" s="1" t="s">
        <v>8263</v>
      </c>
    </row>
    <row r="760" spans="1:14">
      <c r="A760" s="1" t="s">
        <v>2167</v>
      </c>
      <c r="B760" s="1" t="s">
        <v>2168</v>
      </c>
      <c r="C760" s="1" t="s">
        <v>2169</v>
      </c>
      <c r="D760" s="1" t="s">
        <v>3416</v>
      </c>
      <c r="E760" s="1" t="s">
        <v>10375</v>
      </c>
      <c r="F760" s="1" t="s">
        <v>5966</v>
      </c>
      <c r="G760" t="s">
        <v>10376</v>
      </c>
      <c r="H760">
        <v>63470</v>
      </c>
      <c r="I760" s="1" t="s">
        <v>2171</v>
      </c>
      <c r="J760" s="44" t="s">
        <v>2171</v>
      </c>
      <c r="K760" s="44" t="s">
        <v>5001</v>
      </c>
      <c r="L760" s="1" t="s">
        <v>7116</v>
      </c>
      <c r="M760" s="1" t="s">
        <v>8013</v>
      </c>
      <c r="N760" s="1" t="s">
        <v>8186</v>
      </c>
    </row>
    <row r="761" spans="1:14">
      <c r="A761" s="1" t="s">
        <v>3180</v>
      </c>
      <c r="B761" s="1" t="s">
        <v>3181</v>
      </c>
      <c r="C761" s="1" t="s">
        <v>3182</v>
      </c>
      <c r="D761" s="1" t="s">
        <v>3421</v>
      </c>
      <c r="E761" s="1" t="s">
        <v>10377</v>
      </c>
      <c r="F761" s="1" t="s">
        <v>5811</v>
      </c>
      <c r="G761" t="s">
        <v>10378</v>
      </c>
      <c r="H761">
        <v>62906</v>
      </c>
      <c r="I761" s="1" t="s">
        <v>3184</v>
      </c>
      <c r="J761" s="44" t="s">
        <v>3184</v>
      </c>
      <c r="K761" s="44" t="s">
        <v>5399</v>
      </c>
      <c r="L761" s="1" t="s">
        <v>5848</v>
      </c>
      <c r="M761" s="1" t="s">
        <v>6991</v>
      </c>
      <c r="N761" s="1" t="s">
        <v>8074</v>
      </c>
    </row>
    <row r="762" spans="1:14">
      <c r="A762" s="1" t="s">
        <v>3123</v>
      </c>
      <c r="B762" s="1" t="s">
        <v>3124</v>
      </c>
      <c r="C762" s="1" t="s">
        <v>3125</v>
      </c>
      <c r="D762" s="1" t="s">
        <v>3427</v>
      </c>
      <c r="E762" s="1" t="s">
        <v>10379</v>
      </c>
      <c r="F762" s="1" t="s">
        <v>5807</v>
      </c>
      <c r="G762" t="s">
        <v>10380</v>
      </c>
      <c r="H762">
        <v>62118</v>
      </c>
      <c r="I762" s="1" t="s">
        <v>10381</v>
      </c>
      <c r="J762" s="44" t="s">
        <v>10381</v>
      </c>
      <c r="K762" s="44" t="s">
        <v>5067</v>
      </c>
      <c r="L762" s="1" t="s">
        <v>10382</v>
      </c>
      <c r="M762" s="1" t="s">
        <v>7002</v>
      </c>
      <c r="N762" s="1" t="s">
        <v>8152</v>
      </c>
    </row>
    <row r="763" spans="1:14">
      <c r="A763" s="1" t="s">
        <v>2997</v>
      </c>
      <c r="B763" s="1" t="s">
        <v>2998</v>
      </c>
      <c r="C763" s="1" t="s">
        <v>2999</v>
      </c>
      <c r="D763" s="1" t="s">
        <v>3431</v>
      </c>
      <c r="E763" s="1" t="s">
        <v>10383</v>
      </c>
      <c r="F763" s="1" t="s">
        <v>5513</v>
      </c>
      <c r="G763" t="s">
        <v>10384</v>
      </c>
      <c r="H763">
        <v>61625</v>
      </c>
      <c r="I763" s="1" t="s">
        <v>10385</v>
      </c>
      <c r="J763" s="44" t="s">
        <v>10385</v>
      </c>
      <c r="K763" s="44" t="s">
        <v>5067</v>
      </c>
      <c r="L763" s="1" t="s">
        <v>5791</v>
      </c>
      <c r="M763" s="1" t="s">
        <v>10386</v>
      </c>
      <c r="N763" s="1" t="s">
        <v>8070</v>
      </c>
    </row>
    <row r="764" spans="1:14">
      <c r="A764" s="1" t="s">
        <v>3075</v>
      </c>
      <c r="B764" s="1" t="s">
        <v>3076</v>
      </c>
      <c r="C764" s="1" t="s">
        <v>3077</v>
      </c>
      <c r="D764" s="1" t="s">
        <v>3436</v>
      </c>
      <c r="E764" s="1" t="s">
        <v>10387</v>
      </c>
      <c r="F764" s="1" t="s">
        <v>6385</v>
      </c>
      <c r="G764" t="s">
        <v>10388</v>
      </c>
      <c r="H764">
        <v>61571</v>
      </c>
      <c r="I764" s="1" t="s">
        <v>3079</v>
      </c>
      <c r="J764" s="44" t="s">
        <v>3079</v>
      </c>
      <c r="K764" s="44" t="s">
        <v>5843</v>
      </c>
      <c r="L764" s="1" t="s">
        <v>5095</v>
      </c>
      <c r="M764" s="1" t="s">
        <v>7299</v>
      </c>
      <c r="N764" s="1" t="s">
        <v>8190</v>
      </c>
    </row>
    <row r="765" spans="1:14">
      <c r="A765" s="1" t="s">
        <v>2226</v>
      </c>
      <c r="B765" s="1" t="s">
        <v>2227</v>
      </c>
      <c r="C765" s="1" t="s">
        <v>2228</v>
      </c>
      <c r="D765" s="1" t="s">
        <v>3440</v>
      </c>
      <c r="E765" s="1" t="s">
        <v>9808</v>
      </c>
      <c r="F765" s="1" t="s">
        <v>5597</v>
      </c>
      <c r="G765" t="s">
        <v>10389</v>
      </c>
      <c r="H765">
        <v>61172</v>
      </c>
      <c r="I765" s="1" t="s">
        <v>6760</v>
      </c>
      <c r="J765" s="44" t="s">
        <v>6761</v>
      </c>
      <c r="K765" s="44" t="s">
        <v>5654</v>
      </c>
      <c r="L765" s="1" t="s">
        <v>7469</v>
      </c>
      <c r="M765" s="1" t="s">
        <v>7723</v>
      </c>
      <c r="N765" s="1" t="s">
        <v>8162</v>
      </c>
    </row>
    <row r="766" spans="1:14">
      <c r="A766" s="1" t="s">
        <v>3287</v>
      </c>
      <c r="B766" s="1" t="s">
        <v>3288</v>
      </c>
      <c r="C766" s="1" t="s">
        <v>3289</v>
      </c>
      <c r="D766" s="1" t="s">
        <v>3445</v>
      </c>
      <c r="E766" s="1" t="s">
        <v>10390</v>
      </c>
      <c r="F766" s="1" t="s">
        <v>5557</v>
      </c>
      <c r="G766" t="s">
        <v>10391</v>
      </c>
      <c r="H766">
        <v>60943</v>
      </c>
      <c r="I766" s="1" t="s">
        <v>10392</v>
      </c>
      <c r="J766" s="44" t="s">
        <v>10392</v>
      </c>
      <c r="K766" s="44" t="s">
        <v>5399</v>
      </c>
      <c r="L766" s="1" t="s">
        <v>7024</v>
      </c>
      <c r="M766" s="1" t="s">
        <v>7131</v>
      </c>
      <c r="N766" s="1" t="s">
        <v>8121</v>
      </c>
    </row>
    <row r="767" spans="1:14">
      <c r="A767" s="1" t="s">
        <v>3107</v>
      </c>
      <c r="B767" s="1" t="s">
        <v>3108</v>
      </c>
      <c r="C767" s="1" t="s">
        <v>3109</v>
      </c>
      <c r="D767" s="1" t="s">
        <v>3450</v>
      </c>
      <c r="E767" s="1" t="s">
        <v>10393</v>
      </c>
      <c r="F767" s="1" t="s">
        <v>5168</v>
      </c>
      <c r="G767" t="s">
        <v>10394</v>
      </c>
      <c r="H767">
        <v>60836</v>
      </c>
      <c r="I767" s="1" t="s">
        <v>2010</v>
      </c>
      <c r="J767" s="44" t="s">
        <v>861</v>
      </c>
      <c r="K767" s="44" t="s">
        <v>5100</v>
      </c>
      <c r="L767" s="1" t="s">
        <v>5946</v>
      </c>
      <c r="M767" s="1" t="s">
        <v>10395</v>
      </c>
      <c r="N767" s="1" t="s">
        <v>8396</v>
      </c>
    </row>
    <row r="768" spans="1:14">
      <c r="A768" s="1" t="s">
        <v>4447</v>
      </c>
      <c r="B768" s="1" t="s">
        <v>4448</v>
      </c>
      <c r="C768" s="1" t="s">
        <v>4449</v>
      </c>
      <c r="D768" s="1" t="s">
        <v>3451</v>
      </c>
      <c r="E768" s="1" t="s">
        <v>10396</v>
      </c>
      <c r="F768" s="1" t="s">
        <v>6103</v>
      </c>
      <c r="G768" t="s">
        <v>10397</v>
      </c>
      <c r="H768">
        <v>60736</v>
      </c>
      <c r="I768" s="1" t="s">
        <v>7651</v>
      </c>
      <c r="J768" s="44" t="s">
        <v>7651</v>
      </c>
      <c r="K768" s="44" t="s">
        <v>5067</v>
      </c>
      <c r="L768" s="1" t="s">
        <v>8047</v>
      </c>
      <c r="M768" s="1" t="s">
        <v>7690</v>
      </c>
      <c r="N768" s="1" t="s">
        <v>8137</v>
      </c>
    </row>
    <row r="769" spans="1:14">
      <c r="A769" s="1" t="s">
        <v>3295</v>
      </c>
      <c r="B769" s="1" t="s">
        <v>3296</v>
      </c>
      <c r="C769" s="1" t="s">
        <v>3297</v>
      </c>
      <c r="D769" s="1" t="s">
        <v>3455</v>
      </c>
      <c r="E769" s="1" t="s">
        <v>10398</v>
      </c>
      <c r="F769" s="1" t="s">
        <v>4632</v>
      </c>
      <c r="G769" t="s">
        <v>10399</v>
      </c>
      <c r="H769">
        <v>60597</v>
      </c>
      <c r="I769" s="1" t="s">
        <v>3299</v>
      </c>
      <c r="J769" s="44" t="s">
        <v>3299</v>
      </c>
      <c r="K769" s="44" t="s">
        <v>5067</v>
      </c>
      <c r="L769" s="1" t="s">
        <v>7611</v>
      </c>
      <c r="M769" s="1" t="s">
        <v>6985</v>
      </c>
      <c r="N769" s="1" t="s">
        <v>8112</v>
      </c>
    </row>
    <row r="770" spans="1:14">
      <c r="A770" s="1" t="s">
        <v>3300</v>
      </c>
      <c r="B770" s="1" t="s">
        <v>3301</v>
      </c>
      <c r="C770" s="1" t="s">
        <v>3302</v>
      </c>
      <c r="D770" s="1" t="s">
        <v>3460</v>
      </c>
      <c r="E770" s="1" t="s">
        <v>10400</v>
      </c>
      <c r="F770" s="1" t="s">
        <v>6286</v>
      </c>
      <c r="G770" t="s">
        <v>10401</v>
      </c>
      <c r="H770">
        <v>60402</v>
      </c>
      <c r="I770" s="1" t="s">
        <v>6757</v>
      </c>
      <c r="J770" s="44" t="s">
        <v>6758</v>
      </c>
      <c r="K770" s="44" t="s">
        <v>6416</v>
      </c>
      <c r="L770" s="1" t="s">
        <v>7324</v>
      </c>
      <c r="M770" s="1" t="s">
        <v>7609</v>
      </c>
      <c r="N770" s="1" t="s">
        <v>8137</v>
      </c>
    </row>
    <row r="771" spans="1:14">
      <c r="A771" s="1" t="s">
        <v>3218</v>
      </c>
      <c r="B771" s="1" t="s">
        <v>3219</v>
      </c>
      <c r="C771" s="1" t="s">
        <v>3220</v>
      </c>
      <c r="D771" s="1" t="s">
        <v>3465</v>
      </c>
      <c r="E771" s="1" t="s">
        <v>10402</v>
      </c>
      <c r="F771" s="1" t="s">
        <v>6388</v>
      </c>
      <c r="G771" t="s">
        <v>10403</v>
      </c>
      <c r="H771">
        <v>59896</v>
      </c>
      <c r="I771" s="1" t="s">
        <v>3222</v>
      </c>
      <c r="J771" s="44" t="s">
        <v>3223</v>
      </c>
      <c r="K771" s="44" t="s">
        <v>5001</v>
      </c>
      <c r="L771" s="1" t="s">
        <v>10404</v>
      </c>
      <c r="M771" s="1" t="s">
        <v>7634</v>
      </c>
      <c r="N771" s="1" t="s">
        <v>8133</v>
      </c>
    </row>
    <row r="772" spans="1:14">
      <c r="A772" s="1" t="s">
        <v>3115</v>
      </c>
      <c r="B772" s="1" t="s">
        <v>3116</v>
      </c>
      <c r="C772" s="1" t="s">
        <v>3117</v>
      </c>
      <c r="D772" s="1" t="s">
        <v>3470</v>
      </c>
      <c r="E772" s="1" t="s">
        <v>5565</v>
      </c>
      <c r="F772" s="1" t="s">
        <v>5406</v>
      </c>
      <c r="H772">
        <v>59822</v>
      </c>
      <c r="I772" s="1" t="s">
        <v>5157</v>
      </c>
      <c r="J772" s="44" t="s">
        <v>5157</v>
      </c>
      <c r="K772" s="44"/>
      <c r="L772" s="1"/>
      <c r="M772" s="1" t="s">
        <v>6126</v>
      </c>
      <c r="N772" s="1" t="s">
        <v>5566</v>
      </c>
    </row>
    <row r="773" spans="1:14">
      <c r="A773" s="1" t="s">
        <v>3089</v>
      </c>
      <c r="B773" s="1" t="s">
        <v>3090</v>
      </c>
      <c r="C773" s="1" t="s">
        <v>3091</v>
      </c>
      <c r="D773" s="1" t="s">
        <v>3475</v>
      </c>
      <c r="E773" s="1" t="s">
        <v>10405</v>
      </c>
      <c r="F773" s="1" t="s">
        <v>5972</v>
      </c>
      <c r="G773" t="s">
        <v>10406</v>
      </c>
      <c r="H773">
        <v>59538</v>
      </c>
      <c r="I773" s="1" t="s">
        <v>10407</v>
      </c>
      <c r="J773" s="44" t="s">
        <v>10407</v>
      </c>
      <c r="K773" s="44" t="s">
        <v>5635</v>
      </c>
      <c r="L773" s="1" t="s">
        <v>7680</v>
      </c>
      <c r="M773" s="1" t="s">
        <v>6041</v>
      </c>
      <c r="N773" s="1" t="s">
        <v>8070</v>
      </c>
    </row>
    <row r="774" spans="1:14">
      <c r="A774" s="1" t="s">
        <v>3164</v>
      </c>
      <c r="B774" s="1" t="s">
        <v>3165</v>
      </c>
      <c r="C774" s="1" t="s">
        <v>3166</v>
      </c>
      <c r="D774" s="1" t="s">
        <v>3481</v>
      </c>
      <c r="E774" s="1" t="s">
        <v>10408</v>
      </c>
      <c r="F774" s="1" t="s">
        <v>869</v>
      </c>
      <c r="G774" t="s">
        <v>10409</v>
      </c>
      <c r="H774">
        <v>58593</v>
      </c>
      <c r="I774" s="1" t="s">
        <v>3169</v>
      </c>
      <c r="J774" s="44" t="s">
        <v>3170</v>
      </c>
      <c r="K774" s="44" t="s">
        <v>5226</v>
      </c>
      <c r="L774" s="1" t="s">
        <v>7334</v>
      </c>
      <c r="M774" s="1" t="s">
        <v>5724</v>
      </c>
      <c r="N774" s="1" t="s">
        <v>8152</v>
      </c>
    </row>
    <row r="775" spans="1:14">
      <c r="A775" s="1" t="s">
        <v>2944</v>
      </c>
      <c r="B775" s="1" t="s">
        <v>2945</v>
      </c>
      <c r="C775" s="1" t="s">
        <v>2946</v>
      </c>
      <c r="D775" s="1" t="s">
        <v>3487</v>
      </c>
      <c r="E775" s="1" t="s">
        <v>10410</v>
      </c>
      <c r="F775" s="1" t="s">
        <v>1709</v>
      </c>
      <c r="G775" t="s">
        <v>10411</v>
      </c>
      <c r="H775">
        <v>57769</v>
      </c>
      <c r="I775" s="1" t="s">
        <v>2948</v>
      </c>
      <c r="J775" s="44" t="s">
        <v>2948</v>
      </c>
      <c r="K775" s="44" t="s">
        <v>5070</v>
      </c>
      <c r="L775" s="1" t="s">
        <v>6570</v>
      </c>
      <c r="M775" s="1" t="s">
        <v>6948</v>
      </c>
      <c r="N775" s="1" t="s">
        <v>8085</v>
      </c>
    </row>
    <row r="776" spans="1:14">
      <c r="A776" s="1" t="s">
        <v>3229</v>
      </c>
      <c r="B776" s="1" t="s">
        <v>3230</v>
      </c>
      <c r="C776" s="1" t="s">
        <v>3231</v>
      </c>
      <c r="D776" s="1" t="s">
        <v>3492</v>
      </c>
      <c r="E776" s="1" t="s">
        <v>10412</v>
      </c>
      <c r="F776" s="1" t="s">
        <v>6351</v>
      </c>
      <c r="G776" t="s">
        <v>10413</v>
      </c>
      <c r="H776">
        <v>57497</v>
      </c>
      <c r="I776" s="1" t="s">
        <v>3233</v>
      </c>
      <c r="J776" s="44" t="s">
        <v>3233</v>
      </c>
      <c r="K776" s="44" t="s">
        <v>5067</v>
      </c>
      <c r="L776" s="1" t="s">
        <v>7120</v>
      </c>
      <c r="M776" s="1" t="s">
        <v>7026</v>
      </c>
      <c r="N776" s="1" t="s">
        <v>8090</v>
      </c>
    </row>
    <row r="777" spans="1:14">
      <c r="A777" s="1" t="s">
        <v>3553</v>
      </c>
      <c r="B777" s="1" t="s">
        <v>3554</v>
      </c>
      <c r="C777" s="1" t="s">
        <v>3555</v>
      </c>
      <c r="D777" s="1" t="s">
        <v>3496</v>
      </c>
      <c r="E777" s="1" t="s">
        <v>10414</v>
      </c>
      <c r="F777" s="1" t="s">
        <v>5969</v>
      </c>
      <c r="G777" t="s">
        <v>10415</v>
      </c>
      <c r="H777">
        <v>56063</v>
      </c>
      <c r="I777" s="1" t="s">
        <v>10416</v>
      </c>
      <c r="J777" s="44" t="s">
        <v>10417</v>
      </c>
      <c r="K777" s="44" t="s">
        <v>5001</v>
      </c>
      <c r="L777" s="1" t="s">
        <v>6064</v>
      </c>
      <c r="M777" s="1" t="s">
        <v>6155</v>
      </c>
      <c r="N777" s="1" t="s">
        <v>8112</v>
      </c>
    </row>
    <row r="778" spans="1:14">
      <c r="A778" s="1" t="s">
        <v>3070</v>
      </c>
      <c r="B778" s="1" t="s">
        <v>3071</v>
      </c>
      <c r="C778" s="1" t="s">
        <v>3072</v>
      </c>
      <c r="D778" s="1" t="s">
        <v>3502</v>
      </c>
      <c r="E778" s="1" t="s">
        <v>5822</v>
      </c>
      <c r="F778" s="1" t="s">
        <v>5396</v>
      </c>
      <c r="H778">
        <v>54862</v>
      </c>
      <c r="I778" s="1" t="s">
        <v>3074</v>
      </c>
      <c r="J778" s="44" t="s">
        <v>3074</v>
      </c>
      <c r="K778" s="44"/>
      <c r="L778" s="1"/>
      <c r="M778" s="1" t="s">
        <v>7222</v>
      </c>
      <c r="N778" s="1" t="s">
        <v>5823</v>
      </c>
    </row>
    <row r="779" spans="1:14">
      <c r="A779" s="1" t="s">
        <v>3369</v>
      </c>
      <c r="B779" s="1" t="s">
        <v>3370</v>
      </c>
      <c r="C779" s="1" t="s">
        <v>3371</v>
      </c>
      <c r="D779" s="1" t="s">
        <v>3506</v>
      </c>
      <c r="E779" s="1" t="s">
        <v>10418</v>
      </c>
      <c r="F779" s="1" t="s">
        <v>5771</v>
      </c>
      <c r="G779" t="s">
        <v>10419</v>
      </c>
      <c r="H779">
        <v>53480</v>
      </c>
      <c r="I779" s="1" t="s">
        <v>3373</v>
      </c>
      <c r="J779" s="44" t="s">
        <v>3373</v>
      </c>
      <c r="K779" s="44" t="s">
        <v>5067</v>
      </c>
      <c r="L779" s="1"/>
      <c r="M779" s="1" t="s">
        <v>10420</v>
      </c>
      <c r="N779" s="1" t="s">
        <v>8173</v>
      </c>
    </row>
    <row r="780" spans="1:14">
      <c r="A780" s="1" t="s">
        <v>3328</v>
      </c>
      <c r="B780" s="1" t="s">
        <v>3329</v>
      </c>
      <c r="C780" s="1" t="s">
        <v>3330</v>
      </c>
      <c r="D780" s="1" t="s">
        <v>3511</v>
      </c>
      <c r="E780" s="1" t="s">
        <v>10421</v>
      </c>
      <c r="F780" s="1" t="s">
        <v>6348</v>
      </c>
      <c r="G780" t="s">
        <v>10422</v>
      </c>
      <c r="H780">
        <v>52768</v>
      </c>
      <c r="I780" s="1" t="s">
        <v>3332</v>
      </c>
      <c r="J780" s="44" t="s">
        <v>3332</v>
      </c>
      <c r="K780" s="44" t="s">
        <v>5067</v>
      </c>
      <c r="L780" s="1" t="s">
        <v>5865</v>
      </c>
      <c r="M780" s="1" t="s">
        <v>7003</v>
      </c>
      <c r="N780" s="1" t="s">
        <v>8137</v>
      </c>
    </row>
    <row r="781" spans="1:14">
      <c r="A781" s="1" t="s">
        <v>2211</v>
      </c>
      <c r="B781" s="1" t="s">
        <v>2212</v>
      </c>
      <c r="C781" s="1" t="s">
        <v>2213</v>
      </c>
      <c r="D781" s="1" t="s">
        <v>3516</v>
      </c>
      <c r="E781" s="1" t="s">
        <v>10423</v>
      </c>
      <c r="F781" s="1" t="s">
        <v>5099</v>
      </c>
      <c r="G781" t="s">
        <v>10424</v>
      </c>
      <c r="H781">
        <v>52422</v>
      </c>
      <c r="I781" s="1" t="s">
        <v>2215</v>
      </c>
      <c r="J781" s="44" t="s">
        <v>2215</v>
      </c>
      <c r="K781" s="44" t="s">
        <v>5066</v>
      </c>
      <c r="L781" s="1" t="s">
        <v>10425</v>
      </c>
      <c r="M781" s="1" t="s">
        <v>7479</v>
      </c>
      <c r="N781" s="1" t="s">
        <v>8162</v>
      </c>
    </row>
    <row r="782" spans="1:14">
      <c r="A782" s="1" t="s">
        <v>3201</v>
      </c>
      <c r="B782" s="1" t="s">
        <v>3202</v>
      </c>
      <c r="C782" s="1" t="s">
        <v>3203</v>
      </c>
      <c r="D782" s="1" t="s">
        <v>3521</v>
      </c>
      <c r="E782" s="1" t="s">
        <v>10426</v>
      </c>
      <c r="F782" s="1" t="s">
        <v>5800</v>
      </c>
      <c r="G782" t="s">
        <v>10427</v>
      </c>
      <c r="H782">
        <v>51813</v>
      </c>
      <c r="I782" s="1" t="s">
        <v>3205</v>
      </c>
      <c r="J782" s="44" t="s">
        <v>3205</v>
      </c>
      <c r="K782" s="44" t="s">
        <v>5001</v>
      </c>
      <c r="L782" s="1" t="s">
        <v>6591</v>
      </c>
      <c r="M782" s="1"/>
      <c r="N782" s="1" t="s">
        <v>8263</v>
      </c>
    </row>
    <row r="783" spans="1:14">
      <c r="A783" s="1" t="s">
        <v>3395</v>
      </c>
      <c r="B783" s="1" t="s">
        <v>3396</v>
      </c>
      <c r="C783" s="1" t="s">
        <v>2755</v>
      </c>
      <c r="D783" s="1" t="s">
        <v>3527</v>
      </c>
      <c r="E783" s="1" t="s">
        <v>10428</v>
      </c>
      <c r="F783" s="1" t="s">
        <v>7221</v>
      </c>
      <c r="G783" t="s">
        <v>10429</v>
      </c>
      <c r="H783">
        <v>51695</v>
      </c>
      <c r="I783" s="1" t="s">
        <v>7565</v>
      </c>
      <c r="J783" s="44" t="s">
        <v>7565</v>
      </c>
      <c r="K783" s="44" t="s">
        <v>5049</v>
      </c>
      <c r="L783" s="1" t="s">
        <v>7185</v>
      </c>
      <c r="M783" s="1" t="s">
        <v>7664</v>
      </c>
      <c r="N783" s="1" t="s">
        <v>8137</v>
      </c>
    </row>
    <row r="784" spans="1:14">
      <c r="A784" s="1" t="s">
        <v>3346</v>
      </c>
      <c r="B784" s="1" t="s">
        <v>3347</v>
      </c>
      <c r="C784" s="1" t="s">
        <v>3348</v>
      </c>
      <c r="D784" s="1" t="s">
        <v>3533</v>
      </c>
      <c r="E784" s="1" t="s">
        <v>10430</v>
      </c>
      <c r="F784" s="1" t="s">
        <v>5703</v>
      </c>
      <c r="G784" t="s">
        <v>10431</v>
      </c>
      <c r="H784">
        <v>51443</v>
      </c>
      <c r="I784" s="1" t="s">
        <v>6662</v>
      </c>
      <c r="J784" s="44" t="s">
        <v>6662</v>
      </c>
      <c r="K784" s="44" t="s">
        <v>5236</v>
      </c>
      <c r="L784" s="1" t="s">
        <v>6039</v>
      </c>
      <c r="M784" s="1" t="s">
        <v>10432</v>
      </c>
      <c r="N784" s="1" t="s">
        <v>8173</v>
      </c>
    </row>
    <row r="785" spans="1:14">
      <c r="A785" s="1" t="s">
        <v>3472</v>
      </c>
      <c r="B785" s="1" t="s">
        <v>3473</v>
      </c>
      <c r="C785" s="1" t="s">
        <v>3474</v>
      </c>
      <c r="D785" s="1" t="s">
        <v>3537</v>
      </c>
      <c r="E785" s="1" t="s">
        <v>10433</v>
      </c>
      <c r="F785" s="1" t="s">
        <v>5284</v>
      </c>
      <c r="G785" t="s">
        <v>10434</v>
      </c>
      <c r="H785">
        <v>51179</v>
      </c>
      <c r="I785" s="1" t="s">
        <v>3476</v>
      </c>
      <c r="J785" s="44" t="s">
        <v>3477</v>
      </c>
      <c r="K785" s="44" t="s">
        <v>6119</v>
      </c>
      <c r="L785" s="1" t="s">
        <v>6206</v>
      </c>
      <c r="M785" s="1" t="s">
        <v>10435</v>
      </c>
      <c r="N785" s="1" t="s">
        <v>8173</v>
      </c>
    </row>
    <row r="786" spans="1:14">
      <c r="A786" s="1" t="s">
        <v>3447</v>
      </c>
      <c r="B786" s="1" t="s">
        <v>3448</v>
      </c>
      <c r="C786" s="1" t="s">
        <v>3449</v>
      </c>
      <c r="D786" s="1" t="s">
        <v>3541</v>
      </c>
      <c r="E786" s="1" t="s">
        <v>10436</v>
      </c>
      <c r="F786" s="1" t="s">
        <v>5717</v>
      </c>
      <c r="G786" t="s">
        <v>10437</v>
      </c>
      <c r="H786">
        <v>50434</v>
      </c>
      <c r="I786" s="1" t="s">
        <v>6759</v>
      </c>
      <c r="J786" s="44" t="s">
        <v>6759</v>
      </c>
      <c r="K786" s="44" t="s">
        <v>6943</v>
      </c>
      <c r="L786" s="1" t="s">
        <v>7529</v>
      </c>
      <c r="M786" s="1" t="s">
        <v>10438</v>
      </c>
      <c r="N786" s="1" t="s">
        <v>8074</v>
      </c>
    </row>
    <row r="787" spans="1:14">
      <c r="A787" s="1" t="s">
        <v>3304</v>
      </c>
      <c r="B787" s="1" t="s">
        <v>3305</v>
      </c>
      <c r="C787" s="1" t="s">
        <v>3306</v>
      </c>
      <c r="D787" s="1" t="s">
        <v>3546</v>
      </c>
      <c r="E787" s="1" t="s">
        <v>10439</v>
      </c>
      <c r="F787" s="1" t="s">
        <v>6517</v>
      </c>
      <c r="G787" t="s">
        <v>10440</v>
      </c>
      <c r="H787">
        <v>49945</v>
      </c>
      <c r="I787" s="1" t="s">
        <v>6762</v>
      </c>
      <c r="J787" s="44" t="s">
        <v>6762</v>
      </c>
      <c r="K787" s="44" t="s">
        <v>5067</v>
      </c>
      <c r="L787" s="1" t="s">
        <v>5831</v>
      </c>
      <c r="M787" s="1" t="s">
        <v>10441</v>
      </c>
      <c r="N787" s="1" t="s">
        <v>8090</v>
      </c>
    </row>
    <row r="788" spans="1:14">
      <c r="A788" s="1" t="s">
        <v>3384</v>
      </c>
      <c r="B788" s="1" t="s">
        <v>3385</v>
      </c>
      <c r="C788" s="1" t="s">
        <v>3386</v>
      </c>
      <c r="D788" s="1" t="s">
        <v>3550</v>
      </c>
      <c r="E788" s="1" t="s">
        <v>6763</v>
      </c>
      <c r="F788" s="1" t="s">
        <v>6300</v>
      </c>
      <c r="G788" t="s">
        <v>6764</v>
      </c>
      <c r="H788">
        <v>48796</v>
      </c>
      <c r="I788" s="1" t="s">
        <v>3388</v>
      </c>
      <c r="J788" s="44" t="s">
        <v>3388</v>
      </c>
      <c r="K788" s="44" t="s">
        <v>265</v>
      </c>
      <c r="L788" s="1" t="s">
        <v>6676</v>
      </c>
      <c r="M788" s="1" t="s">
        <v>8017</v>
      </c>
      <c r="N788" s="1" t="s">
        <v>8190</v>
      </c>
    </row>
    <row r="789" spans="1:14">
      <c r="A789" s="1" t="s">
        <v>3171</v>
      </c>
      <c r="B789" s="1" t="s">
        <v>3172</v>
      </c>
      <c r="C789" s="1" t="s">
        <v>3173</v>
      </c>
      <c r="D789" s="1" t="s">
        <v>3556</v>
      </c>
      <c r="E789" s="1" t="s">
        <v>10442</v>
      </c>
      <c r="F789" s="1" t="s">
        <v>10443</v>
      </c>
      <c r="G789" t="s">
        <v>10444</v>
      </c>
      <c r="H789">
        <v>48548</v>
      </c>
      <c r="I789" s="1" t="s">
        <v>3175</v>
      </c>
      <c r="J789" s="44" t="s">
        <v>199</v>
      </c>
      <c r="K789" s="44" t="s">
        <v>5122</v>
      </c>
      <c r="L789" s="1" t="s">
        <v>6115</v>
      </c>
      <c r="M789" s="1" t="s">
        <v>10445</v>
      </c>
      <c r="N789" s="1" t="s">
        <v>8162</v>
      </c>
    </row>
    <row r="790" spans="1:14">
      <c r="A790" s="1" t="s">
        <v>3273</v>
      </c>
      <c r="B790" s="1" t="s">
        <v>3274</v>
      </c>
      <c r="C790" s="1" t="s">
        <v>3275</v>
      </c>
      <c r="D790" s="1" t="s">
        <v>3560</v>
      </c>
      <c r="E790" s="1" t="s">
        <v>10446</v>
      </c>
      <c r="F790" s="1" t="s">
        <v>5704</v>
      </c>
      <c r="G790" t="s">
        <v>10447</v>
      </c>
      <c r="H790">
        <v>48401</v>
      </c>
      <c r="I790" s="1" t="s">
        <v>3277</v>
      </c>
      <c r="J790" s="44" t="s">
        <v>3277</v>
      </c>
      <c r="K790" s="44" t="s">
        <v>5067</v>
      </c>
      <c r="L790" s="1"/>
      <c r="M790" s="1" t="s">
        <v>6571</v>
      </c>
      <c r="N790" s="1" t="s">
        <v>8112</v>
      </c>
    </row>
    <row r="791" spans="1:14">
      <c r="A791" s="1" t="s">
        <v>3190</v>
      </c>
      <c r="B791" s="1" t="s">
        <v>3191</v>
      </c>
      <c r="C791" s="1" t="s">
        <v>3192</v>
      </c>
      <c r="D791" s="1" t="s">
        <v>3566</v>
      </c>
      <c r="E791" s="1" t="s">
        <v>10448</v>
      </c>
      <c r="F791" s="1" t="s">
        <v>5742</v>
      </c>
      <c r="G791" t="s">
        <v>10449</v>
      </c>
      <c r="H791">
        <v>48030</v>
      </c>
      <c r="I791" s="1" t="s">
        <v>3194</v>
      </c>
      <c r="J791" s="44" t="s">
        <v>3195</v>
      </c>
      <c r="K791" s="44" t="s">
        <v>5001</v>
      </c>
      <c r="L791" s="1" t="s">
        <v>7243</v>
      </c>
      <c r="M791" s="1" t="s">
        <v>7924</v>
      </c>
      <c r="N791" s="1" t="s">
        <v>8098</v>
      </c>
    </row>
    <row r="792" spans="1:14">
      <c r="A792" s="1" t="s">
        <v>3726</v>
      </c>
      <c r="B792" s="1" t="s">
        <v>3727</v>
      </c>
      <c r="C792" s="1" t="s">
        <v>3728</v>
      </c>
      <c r="D792" s="1" t="s">
        <v>3572</v>
      </c>
      <c r="E792" s="1" t="s">
        <v>10450</v>
      </c>
      <c r="F792" s="1" t="s">
        <v>2220</v>
      </c>
      <c r="G792" t="s">
        <v>10451</v>
      </c>
      <c r="H792">
        <v>47662</v>
      </c>
      <c r="I792" s="1" t="s">
        <v>3730</v>
      </c>
      <c r="J792" s="44" t="s">
        <v>3730</v>
      </c>
      <c r="K792" s="44" t="s">
        <v>5067</v>
      </c>
      <c r="L792" s="1" t="s">
        <v>5886</v>
      </c>
      <c r="M792" s="1" t="s">
        <v>7445</v>
      </c>
      <c r="N792" s="1" t="s">
        <v>8102</v>
      </c>
    </row>
    <row r="793" spans="1:14">
      <c r="A793" s="1" t="s">
        <v>3603</v>
      </c>
      <c r="B793" s="1" t="s">
        <v>3604</v>
      </c>
      <c r="C793" s="1" t="s">
        <v>3604</v>
      </c>
      <c r="D793" s="1" t="s">
        <v>3576</v>
      </c>
      <c r="E793" s="1" t="s">
        <v>10452</v>
      </c>
      <c r="F793" s="1" t="s">
        <v>5178</v>
      </c>
      <c r="G793" t="s">
        <v>10453</v>
      </c>
      <c r="H793">
        <v>46693</v>
      </c>
      <c r="I793" s="1" t="s">
        <v>3606</v>
      </c>
      <c r="J793" s="44" t="s">
        <v>3606</v>
      </c>
      <c r="K793" s="44" t="s">
        <v>5067</v>
      </c>
      <c r="L793" s="1" t="s">
        <v>5791</v>
      </c>
      <c r="M793" s="1"/>
      <c r="N793" s="1" t="s">
        <v>8070</v>
      </c>
    </row>
    <row r="794" spans="1:14">
      <c r="A794" s="1" t="s">
        <v>2262</v>
      </c>
      <c r="B794" s="1" t="s">
        <v>2263</v>
      </c>
      <c r="C794" s="1" t="s">
        <v>1384</v>
      </c>
      <c r="D794" s="1" t="s">
        <v>3580</v>
      </c>
      <c r="E794" s="1" t="s">
        <v>10454</v>
      </c>
      <c r="F794" s="1" t="s">
        <v>6765</v>
      </c>
      <c r="G794" t="s">
        <v>10455</v>
      </c>
      <c r="H794">
        <v>46097</v>
      </c>
      <c r="I794" s="1" t="s">
        <v>2265</v>
      </c>
      <c r="J794" s="44" t="s">
        <v>2265</v>
      </c>
      <c r="K794" s="44" t="s">
        <v>10456</v>
      </c>
      <c r="L794" s="1" t="s">
        <v>5088</v>
      </c>
      <c r="M794" s="1" t="s">
        <v>7049</v>
      </c>
      <c r="N794" s="1" t="s">
        <v>8080</v>
      </c>
    </row>
    <row r="795" spans="1:14">
      <c r="A795" s="1" t="s">
        <v>3350</v>
      </c>
      <c r="B795" s="1" t="s">
        <v>3351</v>
      </c>
      <c r="C795" s="1" t="s">
        <v>3352</v>
      </c>
      <c r="D795" s="1" t="s">
        <v>3585</v>
      </c>
      <c r="E795" s="1" t="s">
        <v>10457</v>
      </c>
      <c r="F795" s="1" t="s">
        <v>6599</v>
      </c>
      <c r="G795" t="s">
        <v>10458</v>
      </c>
      <c r="H795">
        <v>45751</v>
      </c>
      <c r="I795" s="1" t="s">
        <v>10459</v>
      </c>
      <c r="J795" s="44" t="s">
        <v>10459</v>
      </c>
      <c r="K795" s="44" t="s">
        <v>5375</v>
      </c>
      <c r="L795" s="1" t="s">
        <v>5626</v>
      </c>
      <c r="M795" s="1" t="s">
        <v>6960</v>
      </c>
      <c r="N795" s="1" t="s">
        <v>8085</v>
      </c>
    </row>
    <row r="796" spans="1:14">
      <c r="A796" s="1" t="s">
        <v>3324</v>
      </c>
      <c r="B796" s="1" t="s">
        <v>3325</v>
      </c>
      <c r="C796" s="1" t="s">
        <v>3326</v>
      </c>
      <c r="D796" s="1" t="s">
        <v>3590</v>
      </c>
      <c r="E796" s="1" t="s">
        <v>10460</v>
      </c>
      <c r="F796" s="1" t="s">
        <v>6512</v>
      </c>
      <c r="G796" t="s">
        <v>10461</v>
      </c>
      <c r="H796">
        <v>44987</v>
      </c>
      <c r="I796" s="1" t="s">
        <v>10462</v>
      </c>
      <c r="J796" s="44" t="s">
        <v>10462</v>
      </c>
      <c r="K796" s="44" t="s">
        <v>6977</v>
      </c>
      <c r="L796" s="1" t="s">
        <v>7453</v>
      </c>
      <c r="M796" s="1" t="s">
        <v>7768</v>
      </c>
      <c r="N796" s="1" t="s">
        <v>8173</v>
      </c>
    </row>
    <row r="797" spans="1:14">
      <c r="A797" s="1" t="s">
        <v>2251</v>
      </c>
      <c r="B797" s="1" t="s">
        <v>2252</v>
      </c>
      <c r="C797" s="1" t="s">
        <v>2253</v>
      </c>
      <c r="D797" s="1" t="s">
        <v>3595</v>
      </c>
      <c r="E797" s="1" t="s">
        <v>10463</v>
      </c>
      <c r="F797" s="1" t="s">
        <v>5557</v>
      </c>
      <c r="G797" t="s">
        <v>10464</v>
      </c>
      <c r="H797">
        <v>41707</v>
      </c>
      <c r="I797" s="1" t="s">
        <v>2255</v>
      </c>
      <c r="J797" s="44" t="s">
        <v>2255</v>
      </c>
      <c r="K797" s="44" t="s">
        <v>5968</v>
      </c>
      <c r="L797" s="1" t="s">
        <v>6163</v>
      </c>
      <c r="M797" s="1" t="s">
        <v>7441</v>
      </c>
      <c r="N797" s="1" t="s">
        <v>8065</v>
      </c>
    </row>
    <row r="798" spans="1:14">
      <c r="A798" s="1" t="s">
        <v>3403</v>
      </c>
      <c r="B798" s="1" t="s">
        <v>3404</v>
      </c>
      <c r="C798" s="1" t="s">
        <v>3405</v>
      </c>
      <c r="D798" s="1" t="s">
        <v>3600</v>
      </c>
      <c r="E798" s="1" t="s">
        <v>10465</v>
      </c>
      <c r="F798" s="1" t="s">
        <v>3355</v>
      </c>
      <c r="G798" t="s">
        <v>10466</v>
      </c>
      <c r="H798">
        <v>41519</v>
      </c>
      <c r="I798" s="1" t="s">
        <v>3407</v>
      </c>
      <c r="J798" s="44" t="s">
        <v>3407</v>
      </c>
      <c r="K798" s="44" t="s">
        <v>7123</v>
      </c>
      <c r="L798" s="1" t="s">
        <v>5744</v>
      </c>
      <c r="M798" s="1" t="s">
        <v>7592</v>
      </c>
      <c r="N798" s="1" t="s">
        <v>8112</v>
      </c>
    </row>
    <row r="799" spans="1:14">
      <c r="A799" s="1" t="s">
        <v>3267</v>
      </c>
      <c r="B799" s="1" t="s">
        <v>3268</v>
      </c>
      <c r="C799" s="1" t="s">
        <v>3269</v>
      </c>
      <c r="D799" s="1" t="s">
        <v>3605</v>
      </c>
      <c r="E799" s="1" t="s">
        <v>10467</v>
      </c>
      <c r="F799" s="1" t="s">
        <v>2236</v>
      </c>
      <c r="G799" t="s">
        <v>10468</v>
      </c>
      <c r="H799">
        <v>40272</v>
      </c>
      <c r="I799" s="1" t="s">
        <v>3272</v>
      </c>
      <c r="J799" s="44" t="s">
        <v>3272</v>
      </c>
      <c r="K799" s="44" t="s">
        <v>5398</v>
      </c>
      <c r="L799" s="1" t="s">
        <v>6607</v>
      </c>
      <c r="M799" s="1" t="s">
        <v>7607</v>
      </c>
      <c r="N799" s="1" t="s">
        <v>8121</v>
      </c>
    </row>
    <row r="800" spans="1:14">
      <c r="A800" s="1" t="s">
        <v>3356</v>
      </c>
      <c r="B800" s="1" t="s">
        <v>3357</v>
      </c>
      <c r="C800" s="1" t="s">
        <v>3358</v>
      </c>
      <c r="D800" s="1" t="s">
        <v>3610</v>
      </c>
      <c r="E800" s="1" t="s">
        <v>10446</v>
      </c>
      <c r="F800" s="1" t="s">
        <v>5704</v>
      </c>
      <c r="G800" t="s">
        <v>10469</v>
      </c>
      <c r="H800">
        <v>39835</v>
      </c>
      <c r="I800" s="1" t="s">
        <v>10470</v>
      </c>
      <c r="J800" s="44" t="s">
        <v>10470</v>
      </c>
      <c r="K800" s="44" t="s">
        <v>5067</v>
      </c>
      <c r="L800" s="1" t="s">
        <v>7163</v>
      </c>
      <c r="M800" s="1" t="s">
        <v>7528</v>
      </c>
      <c r="N800" s="1" t="s">
        <v>8090</v>
      </c>
    </row>
    <row r="801" spans="1:14">
      <c r="A801" s="1" t="s">
        <v>3478</v>
      </c>
      <c r="B801" s="1" t="s">
        <v>3479</v>
      </c>
      <c r="C801" s="1" t="s">
        <v>3480</v>
      </c>
      <c r="D801" s="1" t="s">
        <v>3615</v>
      </c>
      <c r="E801" s="1" t="s">
        <v>10471</v>
      </c>
      <c r="F801" s="1" t="s">
        <v>6766</v>
      </c>
      <c r="G801" t="s">
        <v>10472</v>
      </c>
      <c r="H801">
        <v>39751</v>
      </c>
      <c r="I801" s="1" t="s">
        <v>3482</v>
      </c>
      <c r="J801" s="44" t="s">
        <v>3483</v>
      </c>
      <c r="K801" s="44" t="s">
        <v>7849</v>
      </c>
      <c r="L801" s="1" t="s">
        <v>10473</v>
      </c>
      <c r="M801" s="1" t="s">
        <v>10474</v>
      </c>
      <c r="N801" s="1" t="s">
        <v>8396</v>
      </c>
    </row>
    <row r="802" spans="1:14">
      <c r="A802" s="1" t="s">
        <v>3210</v>
      </c>
      <c r="B802" s="1" t="s">
        <v>3211</v>
      </c>
      <c r="C802" s="1" t="s">
        <v>3212</v>
      </c>
      <c r="D802" s="1" t="s">
        <v>3621</v>
      </c>
      <c r="E802" s="1" t="s">
        <v>10475</v>
      </c>
      <c r="F802" s="1" t="s">
        <v>7654</v>
      </c>
      <c r="G802" t="s">
        <v>10476</v>
      </c>
      <c r="H802">
        <v>39221</v>
      </c>
      <c r="I802" s="1" t="s">
        <v>5714</v>
      </c>
      <c r="J802" s="44" t="s">
        <v>208</v>
      </c>
      <c r="K802" s="44" t="s">
        <v>5122</v>
      </c>
      <c r="L802" s="1"/>
      <c r="M802" s="1" t="s">
        <v>7593</v>
      </c>
      <c r="N802" s="1" t="s">
        <v>8186</v>
      </c>
    </row>
    <row r="803" spans="1:14">
      <c r="A803" s="1" t="s">
        <v>3137</v>
      </c>
      <c r="B803" s="1" t="s">
        <v>3138</v>
      </c>
      <c r="C803" s="1" t="s">
        <v>3139</v>
      </c>
      <c r="D803" s="1" t="s">
        <v>3626</v>
      </c>
      <c r="E803" s="1" t="s">
        <v>10477</v>
      </c>
      <c r="F803" s="1" t="s">
        <v>5017</v>
      </c>
      <c r="G803" t="s">
        <v>10478</v>
      </c>
      <c r="H803">
        <v>38841</v>
      </c>
      <c r="I803" s="1" t="s">
        <v>3141</v>
      </c>
      <c r="J803" s="44" t="s">
        <v>3141</v>
      </c>
      <c r="K803" s="44" t="s">
        <v>6118</v>
      </c>
      <c r="L803" s="1" t="s">
        <v>5872</v>
      </c>
      <c r="M803" s="1" t="s">
        <v>7547</v>
      </c>
      <c r="N803" s="1" t="s">
        <v>8085</v>
      </c>
    </row>
    <row r="804" spans="1:14">
      <c r="A804" s="1" t="s">
        <v>3185</v>
      </c>
      <c r="B804" s="1" t="s">
        <v>3186</v>
      </c>
      <c r="C804" s="1" t="s">
        <v>3187</v>
      </c>
      <c r="D804" s="1" t="s">
        <v>3631</v>
      </c>
      <c r="E804" s="1" t="s">
        <v>7833</v>
      </c>
      <c r="F804" s="1" t="s">
        <v>6078</v>
      </c>
      <c r="G804" t="s">
        <v>10479</v>
      </c>
      <c r="H804">
        <v>38811</v>
      </c>
      <c r="I804" s="1" t="s">
        <v>3189</v>
      </c>
      <c r="J804" s="44" t="s">
        <v>3189</v>
      </c>
      <c r="K804" s="44" t="s">
        <v>5061</v>
      </c>
      <c r="L804" s="1"/>
      <c r="M804" s="1" t="s">
        <v>10480</v>
      </c>
      <c r="N804" s="1" t="s">
        <v>8074</v>
      </c>
    </row>
    <row r="805" spans="1:14">
      <c r="A805" s="1" t="s">
        <v>3239</v>
      </c>
      <c r="B805" s="1" t="s">
        <v>3240</v>
      </c>
      <c r="C805" s="1" t="s">
        <v>3241</v>
      </c>
      <c r="D805" s="1" t="s">
        <v>3636</v>
      </c>
      <c r="E805" s="1" t="s">
        <v>10481</v>
      </c>
      <c r="F805" s="1" t="s">
        <v>6679</v>
      </c>
      <c r="G805" t="s">
        <v>10482</v>
      </c>
      <c r="H805">
        <v>38387</v>
      </c>
      <c r="I805" s="1" t="s">
        <v>10483</v>
      </c>
      <c r="J805" s="44" t="s">
        <v>10483</v>
      </c>
      <c r="K805" s="44" t="s">
        <v>5067</v>
      </c>
      <c r="L805" s="1" t="s">
        <v>5386</v>
      </c>
      <c r="M805" s="1" t="s">
        <v>7100</v>
      </c>
      <c r="N805" s="1" t="s">
        <v>8186</v>
      </c>
    </row>
    <row r="806" spans="1:14">
      <c r="A806" s="1" t="s">
        <v>3638</v>
      </c>
      <c r="B806" s="1" t="s">
        <v>3639</v>
      </c>
      <c r="C806" s="1" t="s">
        <v>3640</v>
      </c>
      <c r="D806" s="1" t="s">
        <v>3641</v>
      </c>
      <c r="E806" s="1" t="s">
        <v>10484</v>
      </c>
      <c r="F806" s="1" t="s">
        <v>5929</v>
      </c>
      <c r="G806" t="s">
        <v>10485</v>
      </c>
      <c r="H806">
        <v>37896</v>
      </c>
      <c r="I806" s="1" t="s">
        <v>10486</v>
      </c>
      <c r="J806" s="44" t="s">
        <v>10486</v>
      </c>
      <c r="K806" s="44" t="s">
        <v>5386</v>
      </c>
      <c r="L806" s="1" t="s">
        <v>8037</v>
      </c>
      <c r="M806" s="1" t="s">
        <v>7666</v>
      </c>
      <c r="N806" s="1" t="s">
        <v>8112</v>
      </c>
    </row>
    <row r="807" spans="1:14">
      <c r="A807" s="1" t="s">
        <v>3147</v>
      </c>
      <c r="B807" s="1" t="s">
        <v>3148</v>
      </c>
      <c r="C807" s="1" t="s">
        <v>3149</v>
      </c>
      <c r="D807" s="1" t="s">
        <v>3645</v>
      </c>
      <c r="E807" s="1" t="s">
        <v>10487</v>
      </c>
      <c r="F807" s="1" t="s">
        <v>2901</v>
      </c>
      <c r="G807" t="s">
        <v>10488</v>
      </c>
      <c r="H807">
        <v>37892</v>
      </c>
      <c r="I807" s="1" t="s">
        <v>4948</v>
      </c>
      <c r="J807" s="44" t="s">
        <v>4949</v>
      </c>
      <c r="K807" s="44" t="s">
        <v>5975</v>
      </c>
      <c r="L807" s="1" t="s">
        <v>6525</v>
      </c>
      <c r="M807" s="1" t="s">
        <v>6966</v>
      </c>
      <c r="N807" s="1" t="s">
        <v>8396</v>
      </c>
    </row>
    <row r="808" spans="1:14">
      <c r="A808" s="1" t="s">
        <v>3413</v>
      </c>
      <c r="B808" s="1" t="s">
        <v>3414</v>
      </c>
      <c r="C808" s="1" t="s">
        <v>3415</v>
      </c>
      <c r="D808" s="1" t="s">
        <v>3650</v>
      </c>
      <c r="E808" s="1" t="s">
        <v>10489</v>
      </c>
      <c r="F808" s="1" t="s">
        <v>5501</v>
      </c>
      <c r="G808" t="s">
        <v>10490</v>
      </c>
      <c r="H808">
        <v>37553</v>
      </c>
      <c r="I808" s="1" t="s">
        <v>3417</v>
      </c>
      <c r="J808" s="44" t="s">
        <v>3417</v>
      </c>
      <c r="K808" s="44" t="s">
        <v>5001</v>
      </c>
      <c r="L808" s="1"/>
      <c r="M808" s="1" t="s">
        <v>5812</v>
      </c>
      <c r="N808" s="1" t="s">
        <v>8190</v>
      </c>
    </row>
    <row r="809" spans="1:14">
      <c r="A809" s="1" t="s">
        <v>3374</v>
      </c>
      <c r="B809" s="1" t="s">
        <v>3375</v>
      </c>
      <c r="C809" s="1" t="s">
        <v>3376</v>
      </c>
      <c r="D809" s="1" t="s">
        <v>1687</v>
      </c>
      <c r="E809" s="1" t="s">
        <v>10491</v>
      </c>
      <c r="F809" s="1" t="s">
        <v>6129</v>
      </c>
      <c r="G809" t="s">
        <v>10492</v>
      </c>
      <c r="H809">
        <v>37345</v>
      </c>
      <c r="I809" s="1" t="s">
        <v>3378</v>
      </c>
      <c r="J809" s="44" t="s">
        <v>3378</v>
      </c>
      <c r="K809" s="44" t="s">
        <v>5001</v>
      </c>
      <c r="L809" s="1" t="s">
        <v>6065</v>
      </c>
      <c r="M809" s="1" t="s">
        <v>7175</v>
      </c>
      <c r="N809" s="1" t="s">
        <v>8190</v>
      </c>
    </row>
    <row r="810" spans="1:14">
      <c r="A810" s="1" t="s">
        <v>3437</v>
      </c>
      <c r="B810" s="1" t="s">
        <v>3438</v>
      </c>
      <c r="C810" s="1" t="s">
        <v>3439</v>
      </c>
      <c r="D810" s="1" t="s">
        <v>3659</v>
      </c>
      <c r="E810" s="1" t="s">
        <v>10493</v>
      </c>
      <c r="F810" s="1" t="s">
        <v>2934</v>
      </c>
      <c r="G810" t="s">
        <v>10494</v>
      </c>
      <c r="H810">
        <v>36590</v>
      </c>
      <c r="I810" s="1" t="s">
        <v>3441</v>
      </c>
      <c r="J810" s="44" t="s">
        <v>3441</v>
      </c>
      <c r="K810" s="44" t="s">
        <v>5067</v>
      </c>
      <c r="L810" s="1"/>
      <c r="M810" s="1"/>
      <c r="N810" s="1" t="s">
        <v>8137</v>
      </c>
    </row>
    <row r="811" spans="1:14">
      <c r="A811" s="1" t="s">
        <v>3333</v>
      </c>
      <c r="B811" s="1" t="s">
        <v>3334</v>
      </c>
      <c r="C811" s="1" t="s">
        <v>3335</v>
      </c>
      <c r="D811" s="1" t="s">
        <v>3663</v>
      </c>
      <c r="E811" s="1" t="s">
        <v>10493</v>
      </c>
      <c r="F811" s="1" t="s">
        <v>2934</v>
      </c>
      <c r="G811" t="s">
        <v>10495</v>
      </c>
      <c r="H811">
        <v>36456</v>
      </c>
      <c r="I811" s="1" t="s">
        <v>3337</v>
      </c>
      <c r="J811" s="44" t="s">
        <v>3337</v>
      </c>
      <c r="K811" s="44" t="s">
        <v>5067</v>
      </c>
      <c r="L811" s="1" t="s">
        <v>6462</v>
      </c>
      <c r="M811" s="1" t="s">
        <v>7218</v>
      </c>
      <c r="N811" s="1" t="s">
        <v>8070</v>
      </c>
    </row>
    <row r="812" spans="1:14">
      <c r="A812" s="1" t="s">
        <v>3360</v>
      </c>
      <c r="B812" s="1" t="s">
        <v>3361</v>
      </c>
      <c r="C812" s="1" t="s">
        <v>3362</v>
      </c>
      <c r="D812" s="1" t="s">
        <v>3668</v>
      </c>
      <c r="E812" s="1" t="s">
        <v>10496</v>
      </c>
      <c r="F812" s="1" t="s">
        <v>7886</v>
      </c>
      <c r="G812" t="s">
        <v>10497</v>
      </c>
      <c r="H812">
        <v>34877</v>
      </c>
      <c r="I812" s="1" t="s">
        <v>3364</v>
      </c>
      <c r="J812" s="44" t="s">
        <v>3364</v>
      </c>
      <c r="K812" s="44" t="s">
        <v>10498</v>
      </c>
      <c r="L812" s="1" t="s">
        <v>10499</v>
      </c>
      <c r="M812" s="1" t="s">
        <v>7262</v>
      </c>
      <c r="N812" s="1" t="s">
        <v>8190</v>
      </c>
    </row>
    <row r="813" spans="1:14">
      <c r="A813" s="1" t="s">
        <v>3688</v>
      </c>
      <c r="B813" s="1" t="s">
        <v>3689</v>
      </c>
      <c r="C813" s="1" t="s">
        <v>3690</v>
      </c>
      <c r="D813" s="1" t="s">
        <v>3672</v>
      </c>
      <c r="E813" s="1" t="s">
        <v>10500</v>
      </c>
      <c r="F813" s="1" t="s">
        <v>6276</v>
      </c>
      <c r="G813" t="s">
        <v>10501</v>
      </c>
      <c r="H813">
        <v>34492</v>
      </c>
      <c r="I813" s="1" t="s">
        <v>4952</v>
      </c>
      <c r="J813" s="44" t="s">
        <v>4952</v>
      </c>
      <c r="K813" s="44" t="s">
        <v>5214</v>
      </c>
      <c r="L813" s="1" t="s">
        <v>7735</v>
      </c>
      <c r="M813" s="1" t="s">
        <v>10502</v>
      </c>
      <c r="N813" s="1" t="s">
        <v>8065</v>
      </c>
    </row>
    <row r="814" spans="1:14">
      <c r="A814" s="1" t="s">
        <v>3013</v>
      </c>
      <c r="B814" s="1" t="s">
        <v>3014</v>
      </c>
      <c r="C814" s="1" t="s">
        <v>3015</v>
      </c>
      <c r="D814" s="1" t="s">
        <v>3676</v>
      </c>
      <c r="E814" s="1" t="s">
        <v>10503</v>
      </c>
      <c r="F814" s="1" t="s">
        <v>6201</v>
      </c>
      <c r="G814" t="s">
        <v>10504</v>
      </c>
      <c r="H814">
        <v>34420</v>
      </c>
      <c r="I814" s="1" t="s">
        <v>3017</v>
      </c>
      <c r="J814" s="44" t="s">
        <v>3017</v>
      </c>
      <c r="K814" s="44" t="s">
        <v>5001</v>
      </c>
      <c r="L814" s="1" t="s">
        <v>5757</v>
      </c>
      <c r="M814" s="1" t="s">
        <v>7314</v>
      </c>
      <c r="N814" s="1" t="s">
        <v>8173</v>
      </c>
    </row>
    <row r="815" spans="1:14">
      <c r="A815" s="1" t="s">
        <v>3428</v>
      </c>
      <c r="B815" s="1" t="s">
        <v>3429</v>
      </c>
      <c r="C815" s="1" t="s">
        <v>3430</v>
      </c>
      <c r="D815" s="1" t="s">
        <v>3681</v>
      </c>
      <c r="E815" s="1" t="s">
        <v>10505</v>
      </c>
      <c r="F815" s="1" t="s">
        <v>5930</v>
      </c>
      <c r="G815" t="s">
        <v>10506</v>
      </c>
      <c r="H815">
        <v>34163</v>
      </c>
      <c r="I815" s="1" t="s">
        <v>3432</v>
      </c>
      <c r="J815" s="44" t="s">
        <v>3432</v>
      </c>
      <c r="K815" s="44" t="s">
        <v>5001</v>
      </c>
      <c r="L815" s="1" t="s">
        <v>6128</v>
      </c>
      <c r="M815" s="1" t="s">
        <v>7355</v>
      </c>
      <c r="N815" s="1" t="s">
        <v>8112</v>
      </c>
    </row>
    <row r="816" spans="1:14">
      <c r="A816" s="1" t="s">
        <v>3577</v>
      </c>
      <c r="B816" s="1" t="s">
        <v>3578</v>
      </c>
      <c r="C816" s="1" t="s">
        <v>3579</v>
      </c>
      <c r="D816" s="1" t="s">
        <v>3686</v>
      </c>
      <c r="E816" s="1" t="s">
        <v>10507</v>
      </c>
      <c r="F816" s="1" t="s">
        <v>6767</v>
      </c>
      <c r="G816" t="s">
        <v>10508</v>
      </c>
      <c r="H816">
        <v>33348</v>
      </c>
      <c r="I816" s="1" t="s">
        <v>3581</v>
      </c>
      <c r="J816" s="44" t="s">
        <v>3581</v>
      </c>
      <c r="K816" s="44" t="s">
        <v>6119</v>
      </c>
      <c r="L816" s="1" t="s">
        <v>5641</v>
      </c>
      <c r="M816" s="1" t="s">
        <v>10509</v>
      </c>
      <c r="N816" s="1" t="s">
        <v>8137</v>
      </c>
    </row>
    <row r="817" spans="1:14">
      <c r="A817" s="1" t="s">
        <v>3462</v>
      </c>
      <c r="B817" s="1" t="s">
        <v>3463</v>
      </c>
      <c r="C817" s="1" t="s">
        <v>3464</v>
      </c>
      <c r="D817" s="1" t="s">
        <v>3691</v>
      </c>
      <c r="E817" s="1" t="s">
        <v>5567</v>
      </c>
      <c r="F817" s="1" t="s">
        <v>2236</v>
      </c>
      <c r="H817">
        <v>33176</v>
      </c>
      <c r="I817" s="1" t="s">
        <v>3466</v>
      </c>
      <c r="J817" s="44" t="s">
        <v>3466</v>
      </c>
      <c r="K817" s="44"/>
      <c r="L817" s="1"/>
      <c r="M817" s="1"/>
      <c r="N817" s="1" t="s">
        <v>5568</v>
      </c>
    </row>
    <row r="818" spans="1:14">
      <c r="A818" s="1" t="s">
        <v>3711</v>
      </c>
      <c r="B818" s="1" t="s">
        <v>3712</v>
      </c>
      <c r="C818" s="1" t="s">
        <v>3713</v>
      </c>
      <c r="D818" s="1" t="s">
        <v>3695</v>
      </c>
      <c r="E818" s="1" t="s">
        <v>10510</v>
      </c>
      <c r="F818" s="1" t="s">
        <v>1034</v>
      </c>
      <c r="G818" t="s">
        <v>10511</v>
      </c>
      <c r="H818">
        <v>32485</v>
      </c>
      <c r="I818" s="1" t="s">
        <v>3715</v>
      </c>
      <c r="J818" s="44" t="s">
        <v>3716</v>
      </c>
      <c r="K818" s="44" t="s">
        <v>6928</v>
      </c>
      <c r="L818" s="1" t="s">
        <v>10512</v>
      </c>
      <c r="M818" s="1" t="s">
        <v>10513</v>
      </c>
      <c r="N818" s="1" t="s">
        <v>8162</v>
      </c>
    </row>
    <row r="819" spans="1:14">
      <c r="A819" s="1" t="s">
        <v>3398</v>
      </c>
      <c r="B819" s="1" t="s">
        <v>3399</v>
      </c>
      <c r="C819" s="1" t="s">
        <v>3400</v>
      </c>
      <c r="D819" s="1" t="s">
        <v>3700</v>
      </c>
      <c r="E819" s="1" t="s">
        <v>10514</v>
      </c>
      <c r="F819" s="1" t="s">
        <v>6261</v>
      </c>
      <c r="G819" t="s">
        <v>10515</v>
      </c>
      <c r="H819">
        <v>32185</v>
      </c>
      <c r="I819" s="1" t="s">
        <v>3402</v>
      </c>
      <c r="J819" s="44" t="s">
        <v>3402</v>
      </c>
      <c r="K819" s="44" t="s">
        <v>5001</v>
      </c>
      <c r="L819" s="1" t="s">
        <v>5786</v>
      </c>
      <c r="M819" s="1" t="s">
        <v>6087</v>
      </c>
      <c r="N819" s="1" t="s">
        <v>8152</v>
      </c>
    </row>
    <row r="820" spans="1:14">
      <c r="A820" s="1" t="s">
        <v>3508</v>
      </c>
      <c r="B820" s="1" t="s">
        <v>3509</v>
      </c>
      <c r="C820" s="1" t="s">
        <v>3510</v>
      </c>
      <c r="D820" s="1" t="s">
        <v>3705</v>
      </c>
      <c r="E820" s="1" t="s">
        <v>10516</v>
      </c>
      <c r="F820" s="1" t="s">
        <v>5115</v>
      </c>
      <c r="G820" t="s">
        <v>10517</v>
      </c>
      <c r="H820">
        <v>31795</v>
      </c>
      <c r="I820" s="1" t="s">
        <v>3512</v>
      </c>
      <c r="J820" s="44" t="s">
        <v>3512</v>
      </c>
      <c r="K820" s="44" t="s">
        <v>5067</v>
      </c>
      <c r="L820" s="1" t="s">
        <v>5791</v>
      </c>
      <c r="M820" s="1" t="s">
        <v>10518</v>
      </c>
      <c r="N820" s="1" t="s">
        <v>8263</v>
      </c>
    </row>
    <row r="821" spans="1:14">
      <c r="A821" s="1" t="s">
        <v>3612</v>
      </c>
      <c r="B821" s="1" t="s">
        <v>3613</v>
      </c>
      <c r="C821" s="1" t="s">
        <v>3614</v>
      </c>
      <c r="D821" s="1" t="s">
        <v>3709</v>
      </c>
      <c r="E821" s="1" t="s">
        <v>8972</v>
      </c>
      <c r="F821" s="1" t="s">
        <v>1261</v>
      </c>
      <c r="G821" t="s">
        <v>10519</v>
      </c>
      <c r="H821">
        <v>31539</v>
      </c>
      <c r="I821" s="1" t="s">
        <v>3616</v>
      </c>
      <c r="J821" s="44" t="s">
        <v>3617</v>
      </c>
      <c r="K821" s="44" t="s">
        <v>5067</v>
      </c>
      <c r="L821" s="1" t="s">
        <v>7231</v>
      </c>
      <c r="M821" s="1" t="s">
        <v>10520</v>
      </c>
      <c r="N821" s="1" t="s">
        <v>8190</v>
      </c>
    </row>
    <row r="822" spans="1:14">
      <c r="A822" s="1" t="s">
        <v>3702</v>
      </c>
      <c r="B822" s="1" t="s">
        <v>3703</v>
      </c>
      <c r="C822" s="1" t="s">
        <v>3704</v>
      </c>
      <c r="D822" s="1" t="s">
        <v>3714</v>
      </c>
      <c r="E822" s="1" t="s">
        <v>10521</v>
      </c>
      <c r="F822" s="1" t="s">
        <v>5596</v>
      </c>
      <c r="G822" t="s">
        <v>10522</v>
      </c>
      <c r="H822">
        <v>31508</v>
      </c>
      <c r="I822" s="1" t="s">
        <v>1864</v>
      </c>
      <c r="J822" s="44" t="s">
        <v>1864</v>
      </c>
      <c r="K822" s="44" t="s">
        <v>5067</v>
      </c>
      <c r="L822" s="1" t="s">
        <v>7471</v>
      </c>
      <c r="M822" s="1" t="s">
        <v>6537</v>
      </c>
      <c r="N822" s="1" t="s">
        <v>8171</v>
      </c>
    </row>
    <row r="823" spans="1:14">
      <c r="A823" s="1" t="s">
        <v>2153</v>
      </c>
      <c r="B823" s="1" t="s">
        <v>2154</v>
      </c>
      <c r="C823" s="1" t="s">
        <v>2155</v>
      </c>
      <c r="D823" s="1" t="s">
        <v>3719</v>
      </c>
      <c r="E823" s="1" t="s">
        <v>10523</v>
      </c>
      <c r="F823" s="1" t="s">
        <v>5749</v>
      </c>
      <c r="G823" t="s">
        <v>10524</v>
      </c>
      <c r="H823">
        <v>31029</v>
      </c>
      <c r="I823" s="1" t="s">
        <v>2157</v>
      </c>
      <c r="J823" s="44" t="s">
        <v>2157</v>
      </c>
      <c r="K823" s="44" t="s">
        <v>5067</v>
      </c>
      <c r="L823" s="1" t="s">
        <v>6199</v>
      </c>
      <c r="M823" s="1" t="s">
        <v>10525</v>
      </c>
      <c r="N823" s="1" t="s">
        <v>8133</v>
      </c>
    </row>
    <row r="824" spans="1:14">
      <c r="A824" s="1" t="s">
        <v>3493</v>
      </c>
      <c r="B824" s="1" t="s">
        <v>3494</v>
      </c>
      <c r="C824" s="1" t="s">
        <v>3495</v>
      </c>
      <c r="D824" s="1" t="s">
        <v>3724</v>
      </c>
      <c r="E824" s="1" t="s">
        <v>10526</v>
      </c>
      <c r="F824" s="1" t="s">
        <v>6009</v>
      </c>
      <c r="G824" t="s">
        <v>10527</v>
      </c>
      <c r="H824">
        <v>30710</v>
      </c>
      <c r="I824" s="1" t="s">
        <v>3497</v>
      </c>
      <c r="J824" s="44" t="s">
        <v>3498</v>
      </c>
      <c r="K824" s="44" t="s">
        <v>5067</v>
      </c>
      <c r="L824" s="1" t="s">
        <v>7125</v>
      </c>
      <c r="M824" s="1" t="s">
        <v>7383</v>
      </c>
      <c r="N824" s="1" t="s">
        <v>8112</v>
      </c>
    </row>
    <row r="825" spans="1:14">
      <c r="A825" s="1" t="s">
        <v>2270</v>
      </c>
      <c r="B825" s="1" t="s">
        <v>2271</v>
      </c>
      <c r="C825" s="1" t="s">
        <v>2272</v>
      </c>
      <c r="D825" s="1" t="s">
        <v>3729</v>
      </c>
      <c r="E825" s="1" t="s">
        <v>10528</v>
      </c>
      <c r="F825" s="1" t="s">
        <v>5017</v>
      </c>
      <c r="G825" t="s">
        <v>10529</v>
      </c>
      <c r="H825">
        <v>30562</v>
      </c>
      <c r="I825" s="1" t="s">
        <v>10530</v>
      </c>
      <c r="J825" s="44" t="s">
        <v>10530</v>
      </c>
      <c r="K825" s="44" t="s">
        <v>5537</v>
      </c>
      <c r="L825" s="1" t="s">
        <v>5226</v>
      </c>
      <c r="M825" s="1" t="s">
        <v>7380</v>
      </c>
      <c r="N825" s="1" t="s">
        <v>8085</v>
      </c>
    </row>
    <row r="826" spans="1:14">
      <c r="A826" s="1" t="s">
        <v>3151</v>
      </c>
      <c r="B826" s="1" t="s">
        <v>3152</v>
      </c>
      <c r="C826" s="1" t="s">
        <v>3153</v>
      </c>
      <c r="D826" s="1" t="s">
        <v>3734</v>
      </c>
      <c r="E826" s="1" t="s">
        <v>10531</v>
      </c>
      <c r="F826" s="1" t="s">
        <v>5284</v>
      </c>
      <c r="G826" t="s">
        <v>10532</v>
      </c>
      <c r="H826">
        <v>30424</v>
      </c>
      <c r="I826" s="1" t="s">
        <v>4950</v>
      </c>
      <c r="J826" s="44" t="s">
        <v>4950</v>
      </c>
      <c r="K826" s="44" t="s">
        <v>6140</v>
      </c>
      <c r="L826" s="1" t="s">
        <v>7667</v>
      </c>
      <c r="M826" s="1" t="s">
        <v>10533</v>
      </c>
      <c r="N826" s="1" t="s">
        <v>8107</v>
      </c>
    </row>
    <row r="827" spans="1:14">
      <c r="A827" s="1" t="s">
        <v>2230</v>
      </c>
      <c r="B827" s="1" t="s">
        <v>5019</v>
      </c>
      <c r="C827" s="1" t="s">
        <v>5020</v>
      </c>
      <c r="D827" s="1" t="s">
        <v>3740</v>
      </c>
      <c r="E827" s="1" t="s">
        <v>10534</v>
      </c>
      <c r="F827" s="1" t="s">
        <v>7232</v>
      </c>
      <c r="G827" t="s">
        <v>10535</v>
      </c>
      <c r="H827">
        <v>30353</v>
      </c>
      <c r="I827" s="1" t="s">
        <v>10536</v>
      </c>
      <c r="J827" s="44" t="s">
        <v>10536</v>
      </c>
      <c r="K827" s="44" t="s">
        <v>5550</v>
      </c>
      <c r="L827" s="1" t="s">
        <v>7140</v>
      </c>
      <c r="M827" s="1" t="s">
        <v>7691</v>
      </c>
      <c r="N827" s="1" t="s">
        <v>8080</v>
      </c>
    </row>
    <row r="828" spans="1:14">
      <c r="A828" s="1" t="s">
        <v>3513</v>
      </c>
      <c r="B828" s="1" t="s">
        <v>3514</v>
      </c>
      <c r="C828" s="1" t="s">
        <v>3515</v>
      </c>
      <c r="D828" s="1" t="s">
        <v>3745</v>
      </c>
      <c r="E828" s="1" t="s">
        <v>10537</v>
      </c>
      <c r="F828" s="1" t="s">
        <v>5811</v>
      </c>
      <c r="G828" t="s">
        <v>10538</v>
      </c>
      <c r="H828">
        <v>29415</v>
      </c>
      <c r="I828" s="1" t="s">
        <v>3517</v>
      </c>
      <c r="J828" s="44" t="s">
        <v>3517</v>
      </c>
      <c r="K828" s="44" t="s">
        <v>5067</v>
      </c>
      <c r="L828" s="1" t="s">
        <v>10539</v>
      </c>
      <c r="M828" s="1" t="s">
        <v>6308</v>
      </c>
      <c r="N828" s="1" t="s">
        <v>8070</v>
      </c>
    </row>
    <row r="829" spans="1:14">
      <c r="A829" s="1" t="s">
        <v>3282</v>
      </c>
      <c r="B829" s="1" t="s">
        <v>3283</v>
      </c>
      <c r="C829" s="1" t="s">
        <v>3284</v>
      </c>
      <c r="D829" s="1" t="s">
        <v>3750</v>
      </c>
      <c r="E829" s="1" t="s">
        <v>10114</v>
      </c>
      <c r="F829" s="1" t="s">
        <v>1321</v>
      </c>
      <c r="G829" t="s">
        <v>10540</v>
      </c>
      <c r="H829">
        <v>29222</v>
      </c>
      <c r="I829" s="1" t="s">
        <v>3286</v>
      </c>
      <c r="J829" s="44" t="s">
        <v>3286</v>
      </c>
      <c r="K829" s="44" t="s">
        <v>5067</v>
      </c>
      <c r="L829" s="1" t="s">
        <v>7396</v>
      </c>
      <c r="M829" s="1" t="s">
        <v>6421</v>
      </c>
      <c r="N829" s="1" t="s">
        <v>8070</v>
      </c>
    </row>
    <row r="830" spans="1:14">
      <c r="A830" s="1" t="s">
        <v>3262</v>
      </c>
      <c r="B830" s="1" t="s">
        <v>3263</v>
      </c>
      <c r="C830" s="1" t="s">
        <v>3264</v>
      </c>
      <c r="D830" s="1" t="s">
        <v>3755</v>
      </c>
      <c r="E830" s="1" t="s">
        <v>10541</v>
      </c>
      <c r="F830" s="1" t="s">
        <v>2760</v>
      </c>
      <c r="G830" t="s">
        <v>10542</v>
      </c>
      <c r="H830">
        <v>28255</v>
      </c>
      <c r="I830" s="1" t="s">
        <v>3266</v>
      </c>
      <c r="J830" s="44" t="s">
        <v>3266</v>
      </c>
      <c r="K830" s="44" t="s">
        <v>5497</v>
      </c>
      <c r="L830" s="1" t="s">
        <v>5061</v>
      </c>
      <c r="M830" s="1" t="s">
        <v>10543</v>
      </c>
      <c r="N830" s="1" t="s">
        <v>8070</v>
      </c>
    </row>
    <row r="831" spans="1:14">
      <c r="A831" s="1" t="s">
        <v>3442</v>
      </c>
      <c r="B831" s="1" t="s">
        <v>3443</v>
      </c>
      <c r="C831" s="1" t="s">
        <v>3444</v>
      </c>
      <c r="D831" s="1" t="s">
        <v>3759</v>
      </c>
      <c r="E831" s="1" t="s">
        <v>10544</v>
      </c>
      <c r="F831" s="1" t="s">
        <v>2802</v>
      </c>
      <c r="G831" t="s">
        <v>10545</v>
      </c>
      <c r="H831">
        <v>28158</v>
      </c>
      <c r="I831" s="1" t="s">
        <v>3446</v>
      </c>
      <c r="J831" s="44" t="s">
        <v>3446</v>
      </c>
      <c r="K831" s="44" t="s">
        <v>5001</v>
      </c>
      <c r="L831" s="1" t="s">
        <v>7433</v>
      </c>
      <c r="M831" s="1" t="s">
        <v>7280</v>
      </c>
      <c r="N831" s="1" t="s">
        <v>8133</v>
      </c>
    </row>
    <row r="832" spans="1:14">
      <c r="A832" s="1" t="s">
        <v>3669</v>
      </c>
      <c r="B832" s="1" t="s">
        <v>3670</v>
      </c>
      <c r="C832" s="1" t="s">
        <v>3671</v>
      </c>
      <c r="D832" s="1" t="s">
        <v>3764</v>
      </c>
      <c r="E832" s="1" t="s">
        <v>10546</v>
      </c>
      <c r="F832" s="1" t="s">
        <v>6359</v>
      </c>
      <c r="G832" t="s">
        <v>10547</v>
      </c>
      <c r="H832">
        <v>28110</v>
      </c>
      <c r="I832" s="1" t="s">
        <v>5076</v>
      </c>
      <c r="J832" s="44" t="s">
        <v>5077</v>
      </c>
      <c r="K832" s="44" t="s">
        <v>5067</v>
      </c>
      <c r="L832" s="1" t="s">
        <v>5840</v>
      </c>
      <c r="M832" s="1" t="s">
        <v>7414</v>
      </c>
      <c r="N832" s="1" t="s">
        <v>8102</v>
      </c>
    </row>
    <row r="833" spans="1:14">
      <c r="A833" s="1" t="s">
        <v>3524</v>
      </c>
      <c r="B833" s="1" t="s">
        <v>3525</v>
      </c>
      <c r="C833" s="1" t="s">
        <v>3526</v>
      </c>
      <c r="D833" s="1" t="s">
        <v>3770</v>
      </c>
      <c r="E833" s="1" t="s">
        <v>10548</v>
      </c>
      <c r="F833" s="1" t="s">
        <v>2995</v>
      </c>
      <c r="G833" t="s">
        <v>10549</v>
      </c>
      <c r="H833">
        <v>27921</v>
      </c>
      <c r="I833" s="1" t="s">
        <v>3528</v>
      </c>
      <c r="J833" s="44" t="s">
        <v>3529</v>
      </c>
      <c r="K833" s="44" t="s">
        <v>5001</v>
      </c>
      <c r="L833" s="1" t="s">
        <v>6155</v>
      </c>
      <c r="M833" s="1" t="s">
        <v>7233</v>
      </c>
      <c r="N833" s="1" t="s">
        <v>8137</v>
      </c>
    </row>
    <row r="834" spans="1:14">
      <c r="A834" s="1" t="s">
        <v>2292</v>
      </c>
      <c r="B834" s="1" t="s">
        <v>2293</v>
      </c>
      <c r="C834" s="1" t="s">
        <v>2294</v>
      </c>
      <c r="D834" s="1" t="s">
        <v>3775</v>
      </c>
      <c r="E834" s="1" t="s">
        <v>5825</v>
      </c>
      <c r="F834" s="1" t="s">
        <v>1709</v>
      </c>
      <c r="H834">
        <v>27189</v>
      </c>
      <c r="I834" s="1" t="s">
        <v>2296</v>
      </c>
      <c r="J834" s="44" t="s">
        <v>2296</v>
      </c>
      <c r="K834" s="44"/>
      <c r="L834" s="1"/>
      <c r="M834" s="1" t="s">
        <v>5790</v>
      </c>
      <c r="N834" s="1" t="s">
        <v>5826</v>
      </c>
    </row>
    <row r="835" spans="1:14">
      <c r="A835" s="1" t="s">
        <v>3767</v>
      </c>
      <c r="B835" s="1" t="s">
        <v>3768</v>
      </c>
      <c r="C835" s="1" t="s">
        <v>3769</v>
      </c>
      <c r="D835" s="1" t="s">
        <v>3780</v>
      </c>
      <c r="E835" s="1" t="s">
        <v>10550</v>
      </c>
      <c r="F835" s="1" t="s">
        <v>2236</v>
      </c>
      <c r="G835" t="s">
        <v>10551</v>
      </c>
      <c r="H835">
        <v>26738</v>
      </c>
      <c r="I835" s="1" t="s">
        <v>3771</v>
      </c>
      <c r="J835" s="44" t="s">
        <v>3771</v>
      </c>
      <c r="K835" s="44" t="s">
        <v>5067</v>
      </c>
      <c r="L835" s="1" t="s">
        <v>5954</v>
      </c>
      <c r="M835" s="1" t="s">
        <v>10552</v>
      </c>
      <c r="N835" s="1" t="s">
        <v>8121</v>
      </c>
    </row>
    <row r="836" spans="1:14">
      <c r="A836" s="1" t="s">
        <v>3312</v>
      </c>
      <c r="B836" s="1" t="s">
        <v>3313</v>
      </c>
      <c r="C836" s="1" t="s">
        <v>3314</v>
      </c>
      <c r="D836" s="1" t="s">
        <v>3784</v>
      </c>
      <c r="E836" s="1" t="s">
        <v>10553</v>
      </c>
      <c r="F836" s="1" t="s">
        <v>754</v>
      </c>
      <c r="G836" t="s">
        <v>10554</v>
      </c>
      <c r="H836">
        <v>26482</v>
      </c>
      <c r="I836" s="1" t="s">
        <v>10555</v>
      </c>
      <c r="J836" s="44" t="s">
        <v>10555</v>
      </c>
      <c r="K836" s="44" t="s">
        <v>5062</v>
      </c>
      <c r="L836" s="1" t="s">
        <v>6131</v>
      </c>
      <c r="M836" s="1" t="s">
        <v>6026</v>
      </c>
      <c r="N836" s="1" t="s">
        <v>8263</v>
      </c>
    </row>
    <row r="837" spans="1:14">
      <c r="A837" s="1" t="s">
        <v>3587</v>
      </c>
      <c r="B837" s="1" t="s">
        <v>3588</v>
      </c>
      <c r="C837" s="1" t="s">
        <v>3589</v>
      </c>
      <c r="D837" s="1" t="s">
        <v>3788</v>
      </c>
      <c r="E837" s="1" t="s">
        <v>9978</v>
      </c>
      <c r="F837" s="1" t="s">
        <v>1709</v>
      </c>
      <c r="G837" t="s">
        <v>10556</v>
      </c>
      <c r="H837">
        <v>26278</v>
      </c>
      <c r="I837" s="1" t="s">
        <v>3591</v>
      </c>
      <c r="J837" s="44" t="s">
        <v>3591</v>
      </c>
      <c r="K837" s="44" t="s">
        <v>5067</v>
      </c>
      <c r="L837" s="1" t="s">
        <v>5791</v>
      </c>
      <c r="M837" s="1" t="s">
        <v>7592</v>
      </c>
      <c r="N837" s="1" t="s">
        <v>8133</v>
      </c>
    </row>
    <row r="838" spans="1:14">
      <c r="A838" s="1" t="s">
        <v>3582</v>
      </c>
      <c r="B838" s="1" t="s">
        <v>3583</v>
      </c>
      <c r="C838" s="1" t="s">
        <v>3584</v>
      </c>
      <c r="D838" s="1" t="s">
        <v>3793</v>
      </c>
      <c r="E838" s="1" t="s">
        <v>10557</v>
      </c>
      <c r="F838" s="1" t="s">
        <v>5576</v>
      </c>
      <c r="G838" t="s">
        <v>10558</v>
      </c>
      <c r="H838">
        <v>25617</v>
      </c>
      <c r="I838" s="1" t="s">
        <v>3586</v>
      </c>
      <c r="J838" s="44" t="s">
        <v>3586</v>
      </c>
      <c r="K838" s="44" t="s">
        <v>5785</v>
      </c>
      <c r="L838" s="1" t="s">
        <v>7773</v>
      </c>
      <c r="M838" s="1" t="s">
        <v>10559</v>
      </c>
      <c r="N838" s="1" t="s">
        <v>8162</v>
      </c>
    </row>
    <row r="839" spans="1:14">
      <c r="A839" s="1" t="s">
        <v>3624</v>
      </c>
      <c r="B839" s="1" t="s">
        <v>3625</v>
      </c>
      <c r="C839" s="1" t="s">
        <v>3625</v>
      </c>
      <c r="D839" s="1" t="s">
        <v>3798</v>
      </c>
      <c r="E839" s="1" t="s">
        <v>10510</v>
      </c>
      <c r="F839" s="1" t="s">
        <v>1034</v>
      </c>
      <c r="G839" t="s">
        <v>10560</v>
      </c>
      <c r="H839">
        <v>24372</v>
      </c>
      <c r="I839" s="1" t="s">
        <v>3627</v>
      </c>
      <c r="J839" s="44" t="s">
        <v>3627</v>
      </c>
      <c r="K839" s="44" t="s">
        <v>5067</v>
      </c>
      <c r="L839" s="1" t="s">
        <v>10561</v>
      </c>
      <c r="M839" s="1" t="s">
        <v>6592</v>
      </c>
      <c r="N839" s="1" t="s">
        <v>8065</v>
      </c>
    </row>
    <row r="840" spans="1:14">
      <c r="A840" s="1" t="s">
        <v>3592</v>
      </c>
      <c r="B840" s="1" t="s">
        <v>3593</v>
      </c>
      <c r="C840" s="1" t="s">
        <v>3594</v>
      </c>
      <c r="D840" s="1" t="s">
        <v>3804</v>
      </c>
      <c r="E840" s="1" t="s">
        <v>6361</v>
      </c>
      <c r="F840" s="1" t="s">
        <v>2591</v>
      </c>
      <c r="H840">
        <v>24023</v>
      </c>
      <c r="I840" s="1" t="s">
        <v>3596</v>
      </c>
      <c r="J840" s="44" t="s">
        <v>3596</v>
      </c>
      <c r="K840" s="44"/>
      <c r="L840" s="1" t="s">
        <v>6118</v>
      </c>
      <c r="M840" s="1" t="s">
        <v>10562</v>
      </c>
      <c r="N840" s="1" t="s">
        <v>6362</v>
      </c>
    </row>
    <row r="841" spans="1:14">
      <c r="A841" s="1" t="s">
        <v>2278</v>
      </c>
      <c r="B841" s="1" t="s">
        <v>2279</v>
      </c>
      <c r="C841" s="1" t="s">
        <v>2280</v>
      </c>
      <c r="D841" s="1" t="s">
        <v>3809</v>
      </c>
      <c r="E841" s="1" t="s">
        <v>8972</v>
      </c>
      <c r="F841" s="1" t="s">
        <v>1261</v>
      </c>
      <c r="G841" t="s">
        <v>10563</v>
      </c>
      <c r="H841">
        <v>23967</v>
      </c>
      <c r="I841" s="1" t="s">
        <v>6768</v>
      </c>
      <c r="J841" s="44" t="s">
        <v>6768</v>
      </c>
      <c r="K841" s="44" t="s">
        <v>5067</v>
      </c>
      <c r="L841" s="1" t="s">
        <v>7128</v>
      </c>
      <c r="M841" s="1" t="s">
        <v>6982</v>
      </c>
      <c r="N841" s="1" t="s">
        <v>8396</v>
      </c>
    </row>
    <row r="842" spans="1:14">
      <c r="A842" s="1" t="s">
        <v>3503</v>
      </c>
      <c r="B842" s="1" t="s">
        <v>3504</v>
      </c>
      <c r="C842" s="1" t="s">
        <v>3505</v>
      </c>
      <c r="D842" s="1" t="s">
        <v>3815</v>
      </c>
      <c r="E842" s="1" t="s">
        <v>8972</v>
      </c>
      <c r="F842" s="1" t="s">
        <v>1261</v>
      </c>
      <c r="G842" t="s">
        <v>10564</v>
      </c>
      <c r="H842">
        <v>22165</v>
      </c>
      <c r="I842" s="1" t="s">
        <v>3507</v>
      </c>
      <c r="J842" s="44" t="s">
        <v>3507</v>
      </c>
      <c r="K842" s="44" t="s">
        <v>5001</v>
      </c>
      <c r="L842" s="1" t="s">
        <v>5791</v>
      </c>
      <c r="M842" s="1"/>
      <c r="N842" s="1" t="s">
        <v>8098</v>
      </c>
    </row>
    <row r="843" spans="1:14">
      <c r="A843" s="1" t="s">
        <v>3489</v>
      </c>
      <c r="B843" s="1" t="s">
        <v>3490</v>
      </c>
      <c r="C843" s="1" t="s">
        <v>3491</v>
      </c>
      <c r="D843" s="1" t="s">
        <v>3819</v>
      </c>
      <c r="E843" s="1" t="s">
        <v>10565</v>
      </c>
      <c r="F843" s="1" t="s">
        <v>6363</v>
      </c>
      <c r="G843" t="s">
        <v>10566</v>
      </c>
      <c r="H843">
        <v>22035</v>
      </c>
      <c r="I843" s="1" t="s">
        <v>1204</v>
      </c>
      <c r="J843" s="44" t="s">
        <v>1204</v>
      </c>
      <c r="K843" s="44" t="s">
        <v>5946</v>
      </c>
      <c r="L843" s="1" t="s">
        <v>7758</v>
      </c>
      <c r="M843" s="1" t="s">
        <v>10567</v>
      </c>
      <c r="N843" s="1" t="s">
        <v>8162</v>
      </c>
    </row>
    <row r="844" spans="1:14">
      <c r="A844" s="1" t="s">
        <v>3656</v>
      </c>
      <c r="B844" s="1" t="s">
        <v>3657</v>
      </c>
      <c r="C844" s="1" t="s">
        <v>3658</v>
      </c>
      <c r="D844" s="1" t="s">
        <v>3823</v>
      </c>
      <c r="E844" s="1" t="s">
        <v>10568</v>
      </c>
      <c r="F844" s="1" t="s">
        <v>7462</v>
      </c>
      <c r="G844" t="s">
        <v>10569</v>
      </c>
      <c r="H844">
        <v>21710</v>
      </c>
      <c r="I844" s="1" t="s">
        <v>5487</v>
      </c>
      <c r="J844" s="44" t="s">
        <v>5487</v>
      </c>
      <c r="K844" s="44" t="s">
        <v>5226</v>
      </c>
      <c r="L844" s="1" t="s">
        <v>7132</v>
      </c>
      <c r="M844" s="1" t="s">
        <v>7578</v>
      </c>
      <c r="N844" s="1" t="s">
        <v>8133</v>
      </c>
    </row>
    <row r="845" spans="1:14">
      <c r="A845" s="1" t="s">
        <v>3607</v>
      </c>
      <c r="B845" s="1" t="s">
        <v>3608</v>
      </c>
      <c r="C845" s="1" t="s">
        <v>3609</v>
      </c>
      <c r="D845" s="1" t="s">
        <v>3828</v>
      </c>
      <c r="E845" s="1" t="s">
        <v>10570</v>
      </c>
      <c r="F845" s="1" t="s">
        <v>5233</v>
      </c>
      <c r="G845" t="s">
        <v>10571</v>
      </c>
      <c r="H845">
        <v>21612</v>
      </c>
      <c r="I845" s="1" t="s">
        <v>3611</v>
      </c>
      <c r="J845" s="44" t="s">
        <v>3611</v>
      </c>
      <c r="K845" s="44" t="s">
        <v>5067</v>
      </c>
      <c r="L845" s="1" t="s">
        <v>7395</v>
      </c>
      <c r="M845" s="1" t="s">
        <v>7341</v>
      </c>
      <c r="N845" s="1" t="s">
        <v>8107</v>
      </c>
    </row>
    <row r="846" spans="1:14">
      <c r="A846" s="1" t="s">
        <v>3642</v>
      </c>
      <c r="B846" s="1" t="s">
        <v>3643</v>
      </c>
      <c r="C846" s="1" t="s">
        <v>3644</v>
      </c>
      <c r="D846" s="1" t="s">
        <v>3834</v>
      </c>
      <c r="E846" s="1" t="s">
        <v>10572</v>
      </c>
      <c r="F846" s="1" t="s">
        <v>5219</v>
      </c>
      <c r="G846" t="s">
        <v>10573</v>
      </c>
      <c r="H846">
        <v>21216</v>
      </c>
      <c r="I846" s="1" t="s">
        <v>3646</v>
      </c>
      <c r="J846" s="44" t="s">
        <v>3646</v>
      </c>
      <c r="K846" s="44" t="s">
        <v>5067</v>
      </c>
      <c r="L846" s="1" t="s">
        <v>7398</v>
      </c>
      <c r="M846" s="1" t="s">
        <v>7732</v>
      </c>
      <c r="N846" s="1" t="s">
        <v>8098</v>
      </c>
    </row>
    <row r="847" spans="1:14">
      <c r="A847" s="1" t="s">
        <v>3706</v>
      </c>
      <c r="B847" s="1" t="s">
        <v>3707</v>
      </c>
      <c r="C847" s="1" t="s">
        <v>3708</v>
      </c>
      <c r="D847" s="1" t="s">
        <v>3839</v>
      </c>
      <c r="E847" s="1" t="s">
        <v>10574</v>
      </c>
      <c r="F847" s="1" t="s">
        <v>5392</v>
      </c>
      <c r="G847" t="s">
        <v>10575</v>
      </c>
      <c r="H847">
        <v>20973</v>
      </c>
      <c r="I847" s="1" t="s">
        <v>3710</v>
      </c>
      <c r="J847" s="44" t="s">
        <v>3710</v>
      </c>
      <c r="K847" s="44" t="s">
        <v>7323</v>
      </c>
      <c r="L847" s="1" t="s">
        <v>6206</v>
      </c>
      <c r="M847" s="1" t="s">
        <v>7079</v>
      </c>
      <c r="N847" s="1" t="s">
        <v>8107</v>
      </c>
    </row>
    <row r="848" spans="1:14">
      <c r="A848" s="1" t="s">
        <v>3697</v>
      </c>
      <c r="B848" s="1" t="s">
        <v>3698</v>
      </c>
      <c r="C848" s="1" t="s">
        <v>3699</v>
      </c>
      <c r="D848" s="1" t="s">
        <v>3844</v>
      </c>
      <c r="E848" s="1" t="s">
        <v>10576</v>
      </c>
      <c r="F848" s="1" t="s">
        <v>5560</v>
      </c>
      <c r="G848" t="s">
        <v>10577</v>
      </c>
      <c r="H848">
        <v>20060</v>
      </c>
      <c r="I848" s="1" t="s">
        <v>3701</v>
      </c>
      <c r="J848" s="44" t="s">
        <v>3701</v>
      </c>
      <c r="K848" s="44" t="s">
        <v>5067</v>
      </c>
      <c r="L848" s="1" t="s">
        <v>5885</v>
      </c>
      <c r="M848" s="1" t="s">
        <v>5677</v>
      </c>
      <c r="N848" s="1" t="s">
        <v>8171</v>
      </c>
    </row>
    <row r="849" spans="1:14">
      <c r="A849" s="1" t="s">
        <v>3737</v>
      </c>
      <c r="B849" s="1" t="s">
        <v>3738</v>
      </c>
      <c r="C849" s="1" t="s">
        <v>3739</v>
      </c>
      <c r="D849" s="1" t="s">
        <v>3850</v>
      </c>
      <c r="E849" s="1" t="s">
        <v>10578</v>
      </c>
      <c r="F849" s="1" t="s">
        <v>2152</v>
      </c>
      <c r="G849" t="s">
        <v>10579</v>
      </c>
      <c r="H849">
        <v>19496</v>
      </c>
      <c r="I849" s="1" t="s">
        <v>3741</v>
      </c>
      <c r="J849" s="44" t="s">
        <v>3741</v>
      </c>
      <c r="K849" s="44" t="s">
        <v>5067</v>
      </c>
      <c r="L849" s="1" t="s">
        <v>6301</v>
      </c>
      <c r="M849" s="1" t="s">
        <v>5854</v>
      </c>
      <c r="N849" s="1" t="s">
        <v>8065</v>
      </c>
    </row>
    <row r="850" spans="1:14">
      <c r="A850" s="1" t="s">
        <v>3777</v>
      </c>
      <c r="B850" s="1" t="s">
        <v>3778</v>
      </c>
      <c r="C850" s="1" t="s">
        <v>3779</v>
      </c>
      <c r="D850" s="1" t="s">
        <v>3855</v>
      </c>
      <c r="E850" s="1" t="s">
        <v>6364</v>
      </c>
      <c r="F850" s="1" t="s">
        <v>5976</v>
      </c>
      <c r="H850">
        <v>19492</v>
      </c>
      <c r="I850" s="1" t="s">
        <v>5372</v>
      </c>
      <c r="J850" s="44" t="s">
        <v>5158</v>
      </c>
      <c r="K850" s="44"/>
      <c r="L850" s="1" t="s">
        <v>5226</v>
      </c>
      <c r="M850" s="1" t="s">
        <v>7298</v>
      </c>
      <c r="N850" s="1" t="s">
        <v>6365</v>
      </c>
    </row>
    <row r="851" spans="1:14">
      <c r="A851" s="1" t="s">
        <v>3547</v>
      </c>
      <c r="B851" s="1" t="s">
        <v>3548</v>
      </c>
      <c r="C851" s="1" t="s">
        <v>3549</v>
      </c>
      <c r="D851" s="1" t="s">
        <v>3861</v>
      </c>
      <c r="E851" s="1" t="s">
        <v>10154</v>
      </c>
      <c r="F851" s="1" t="s">
        <v>5974</v>
      </c>
      <c r="G851" t="s">
        <v>10580</v>
      </c>
      <c r="H851">
        <v>19354</v>
      </c>
      <c r="I851" s="1" t="s">
        <v>3551</v>
      </c>
      <c r="J851" s="44" t="s">
        <v>3552</v>
      </c>
      <c r="K851" s="44" t="s">
        <v>5067</v>
      </c>
      <c r="L851" s="1" t="s">
        <v>7840</v>
      </c>
      <c r="M851" s="1" t="s">
        <v>10581</v>
      </c>
      <c r="N851" s="1" t="s">
        <v>8080</v>
      </c>
    </row>
    <row r="852" spans="1:14">
      <c r="A852" s="1" t="s">
        <v>3721</v>
      </c>
      <c r="B852" s="1" t="s">
        <v>3722</v>
      </c>
      <c r="C852" s="1" t="s">
        <v>3723</v>
      </c>
      <c r="D852" s="1" t="s">
        <v>3865</v>
      </c>
      <c r="E852" s="1" t="s">
        <v>10582</v>
      </c>
      <c r="F852" s="1" t="s">
        <v>5388</v>
      </c>
      <c r="G852" t="s">
        <v>10583</v>
      </c>
      <c r="H852">
        <v>18384</v>
      </c>
      <c r="I852" s="1" t="s">
        <v>3725</v>
      </c>
      <c r="J852" s="44" t="s">
        <v>3725</v>
      </c>
      <c r="K852" s="44" t="s">
        <v>5001</v>
      </c>
      <c r="L852" s="1" t="s">
        <v>7870</v>
      </c>
      <c r="M852" s="1"/>
      <c r="N852" s="1" t="s">
        <v>8112</v>
      </c>
    </row>
    <row r="853" spans="1:14">
      <c r="A853" s="1" t="s">
        <v>3673</v>
      </c>
      <c r="B853" s="1" t="s">
        <v>3674</v>
      </c>
      <c r="C853" s="1" t="s">
        <v>3675</v>
      </c>
      <c r="D853" s="1" t="s">
        <v>3871</v>
      </c>
      <c r="E853" s="1" t="s">
        <v>6367</v>
      </c>
      <c r="F853" s="1" t="s">
        <v>5710</v>
      </c>
      <c r="H853">
        <v>18263</v>
      </c>
      <c r="I853" s="1" t="s">
        <v>3677</v>
      </c>
      <c r="J853" s="44" t="s">
        <v>3677</v>
      </c>
      <c r="K853" s="44"/>
      <c r="L853" s="1" t="s">
        <v>7016</v>
      </c>
      <c r="M853" s="1" t="s">
        <v>6514</v>
      </c>
      <c r="N853" s="1" t="s">
        <v>6368</v>
      </c>
    </row>
    <row r="854" spans="1:14">
      <c r="A854" s="1" t="s">
        <v>3530</v>
      </c>
      <c r="B854" s="1" t="s">
        <v>3531</v>
      </c>
      <c r="C854" s="1" t="s">
        <v>3532</v>
      </c>
      <c r="D854" s="1" t="s">
        <v>3877</v>
      </c>
      <c r="E854" s="1" t="s">
        <v>10584</v>
      </c>
      <c r="F854" s="1" t="s">
        <v>6369</v>
      </c>
      <c r="G854" t="s">
        <v>10585</v>
      </c>
      <c r="H854">
        <v>17943</v>
      </c>
      <c r="I854" s="1" t="s">
        <v>5021</v>
      </c>
      <c r="J854" s="44" t="s">
        <v>5021</v>
      </c>
      <c r="K854" s="44" t="s">
        <v>5001</v>
      </c>
      <c r="L854" s="1" t="s">
        <v>7211</v>
      </c>
      <c r="M854" s="1" t="s">
        <v>5410</v>
      </c>
      <c r="N854" s="1" t="s">
        <v>8121</v>
      </c>
    </row>
    <row r="855" spans="1:14">
      <c r="A855" s="1" t="s">
        <v>3618</v>
      </c>
      <c r="B855" s="1" t="s">
        <v>3619</v>
      </c>
      <c r="C855" s="1" t="s">
        <v>3620</v>
      </c>
      <c r="D855" s="1" t="s">
        <v>3882</v>
      </c>
      <c r="E855" s="1" t="s">
        <v>10586</v>
      </c>
      <c r="F855" s="1" t="s">
        <v>5595</v>
      </c>
      <c r="G855" t="s">
        <v>10587</v>
      </c>
      <c r="H855">
        <v>17462</v>
      </c>
      <c r="I855" s="1" t="s">
        <v>3622</v>
      </c>
      <c r="J855" s="44" t="s">
        <v>3623</v>
      </c>
      <c r="K855" s="44" t="s">
        <v>5067</v>
      </c>
      <c r="L855" s="1" t="s">
        <v>5762</v>
      </c>
      <c r="M855" s="1" t="s">
        <v>6029</v>
      </c>
      <c r="N855" s="1" t="s">
        <v>8137</v>
      </c>
    </row>
    <row r="856" spans="1:14">
      <c r="A856" s="1" t="s">
        <v>3538</v>
      </c>
      <c r="B856" s="1" t="s">
        <v>3539</v>
      </c>
      <c r="C856" s="1" t="s">
        <v>3540</v>
      </c>
      <c r="D856" s="1" t="s">
        <v>3888</v>
      </c>
      <c r="E856" s="1" t="s">
        <v>8972</v>
      </c>
      <c r="F856" s="1" t="s">
        <v>1261</v>
      </c>
      <c r="G856" t="s">
        <v>10588</v>
      </c>
      <c r="H856">
        <v>17447</v>
      </c>
      <c r="I856" s="1" t="s">
        <v>3542</v>
      </c>
      <c r="J856" s="44" t="s">
        <v>3542</v>
      </c>
      <c r="K856" s="44" t="s">
        <v>5067</v>
      </c>
      <c r="L856" s="1" t="s">
        <v>6269</v>
      </c>
      <c r="M856" s="1" t="s">
        <v>7241</v>
      </c>
      <c r="N856" s="1" t="s">
        <v>8263</v>
      </c>
    </row>
    <row r="857" spans="1:14">
      <c r="A857" s="1" t="s">
        <v>3747</v>
      </c>
      <c r="B857" s="1" t="s">
        <v>3748</v>
      </c>
      <c r="C857" s="1" t="s">
        <v>3749</v>
      </c>
      <c r="D857" s="1" t="s">
        <v>3893</v>
      </c>
      <c r="E857" s="1" t="s">
        <v>10589</v>
      </c>
      <c r="F857" s="1" t="s">
        <v>6370</v>
      </c>
      <c r="G857" t="s">
        <v>10590</v>
      </c>
      <c r="H857">
        <v>17321</v>
      </c>
      <c r="I857" s="1" t="s">
        <v>3751</v>
      </c>
      <c r="J857" s="44" t="s">
        <v>3751</v>
      </c>
      <c r="K857" s="44" t="s">
        <v>5067</v>
      </c>
      <c r="L857" s="1" t="s">
        <v>8023</v>
      </c>
      <c r="M857" s="1" t="s">
        <v>10591</v>
      </c>
      <c r="N857" s="1" t="s">
        <v>8121</v>
      </c>
    </row>
    <row r="858" spans="1:14">
      <c r="A858" s="1" t="s">
        <v>3573</v>
      </c>
      <c r="B858" s="1" t="s">
        <v>3574</v>
      </c>
      <c r="C858" s="1" t="s">
        <v>3575</v>
      </c>
      <c r="D858" s="1" t="s">
        <v>3897</v>
      </c>
      <c r="E858" s="1" t="s">
        <v>5514</v>
      </c>
      <c r="F858" s="1" t="s">
        <v>1312</v>
      </c>
      <c r="H858">
        <v>17169</v>
      </c>
      <c r="I858" s="1" t="s">
        <v>54</v>
      </c>
      <c r="J858" s="44" t="s">
        <v>54</v>
      </c>
      <c r="K858" s="44"/>
      <c r="L858" s="1"/>
      <c r="M858" s="1"/>
      <c r="N858" s="1" t="s">
        <v>5515</v>
      </c>
    </row>
    <row r="859" spans="1:14">
      <c r="A859" s="1" t="s">
        <v>2304</v>
      </c>
      <c r="B859" s="1" t="s">
        <v>2305</v>
      </c>
      <c r="C859" s="1" t="s">
        <v>2306</v>
      </c>
      <c r="D859" s="1" t="s">
        <v>3904</v>
      </c>
      <c r="E859" s="1" t="s">
        <v>10592</v>
      </c>
      <c r="F859" s="1" t="s">
        <v>6371</v>
      </c>
      <c r="G859" t="s">
        <v>10593</v>
      </c>
      <c r="H859">
        <v>17160</v>
      </c>
      <c r="I859" s="1" t="s">
        <v>10594</v>
      </c>
      <c r="J859" s="44" t="s">
        <v>10595</v>
      </c>
      <c r="K859" s="44" t="s">
        <v>5067</v>
      </c>
      <c r="L859" s="1" t="s">
        <v>5917</v>
      </c>
      <c r="M859" s="1" t="s">
        <v>10596</v>
      </c>
      <c r="N859" s="1" t="s">
        <v>8065</v>
      </c>
    </row>
    <row r="860" spans="1:14">
      <c r="A860" s="1" t="s">
        <v>3518</v>
      </c>
      <c r="B860" s="1" t="s">
        <v>3519</v>
      </c>
      <c r="C860" s="1" t="s">
        <v>3520</v>
      </c>
      <c r="D860" s="1" t="s">
        <v>3909</v>
      </c>
      <c r="E860" s="1" t="s">
        <v>10597</v>
      </c>
      <c r="F860" s="1" t="s">
        <v>869</v>
      </c>
      <c r="G860" t="s">
        <v>10598</v>
      </c>
      <c r="H860">
        <v>17117</v>
      </c>
      <c r="I860" s="1" t="s">
        <v>3523</v>
      </c>
      <c r="J860" s="44" t="s">
        <v>3523</v>
      </c>
      <c r="K860" s="44" t="s">
        <v>5001</v>
      </c>
      <c r="L860" s="1" t="s">
        <v>6569</v>
      </c>
      <c r="M860" s="1" t="s">
        <v>7401</v>
      </c>
      <c r="N860" s="1" t="s">
        <v>8090</v>
      </c>
    </row>
    <row r="861" spans="1:14">
      <c r="A861" s="1" t="s">
        <v>3801</v>
      </c>
      <c r="B861" s="1" t="s">
        <v>3802</v>
      </c>
      <c r="C861" s="1" t="s">
        <v>3803</v>
      </c>
      <c r="D861" s="1" t="s">
        <v>3915</v>
      </c>
      <c r="E861" s="1" t="s">
        <v>5516</v>
      </c>
      <c r="F861" s="1" t="s">
        <v>5377</v>
      </c>
      <c r="H861">
        <v>17112</v>
      </c>
      <c r="I861" s="1" t="s">
        <v>3805</v>
      </c>
      <c r="J861" s="44" t="s">
        <v>3805</v>
      </c>
      <c r="K861" s="44"/>
      <c r="L861" s="1"/>
      <c r="M861" s="1" t="s">
        <v>10599</v>
      </c>
      <c r="N861" s="1" t="s">
        <v>5517</v>
      </c>
    </row>
    <row r="862" spans="1:14">
      <c r="A862" s="1" t="s">
        <v>3692</v>
      </c>
      <c r="B862" s="1" t="s">
        <v>3693</v>
      </c>
      <c r="C862" s="1" t="s">
        <v>3694</v>
      </c>
      <c r="D862" s="1" t="s">
        <v>3921</v>
      </c>
      <c r="E862" s="1" t="s">
        <v>10450</v>
      </c>
      <c r="F862" s="1" t="s">
        <v>2220</v>
      </c>
      <c r="G862" t="s">
        <v>10600</v>
      </c>
      <c r="H862">
        <v>16700</v>
      </c>
      <c r="I862" s="1" t="s">
        <v>3696</v>
      </c>
      <c r="J862" s="44" t="s">
        <v>3696</v>
      </c>
      <c r="K862" s="44" t="s">
        <v>5067</v>
      </c>
      <c r="L862" s="1" t="s">
        <v>5768</v>
      </c>
      <c r="M862" s="1" t="s">
        <v>5975</v>
      </c>
      <c r="N862" s="1" t="s">
        <v>8085</v>
      </c>
    </row>
    <row r="863" spans="1:14">
      <c r="A863" s="1" t="s">
        <v>3731</v>
      </c>
      <c r="B863" s="1" t="s">
        <v>3732</v>
      </c>
      <c r="C863" s="1" t="s">
        <v>3733</v>
      </c>
      <c r="D863" s="1" t="s">
        <v>3926</v>
      </c>
      <c r="E863" s="1" t="s">
        <v>10601</v>
      </c>
      <c r="F863" s="1" t="s">
        <v>2037</v>
      </c>
      <c r="G863" t="s">
        <v>10602</v>
      </c>
      <c r="H863">
        <v>16655</v>
      </c>
      <c r="I863" s="1" t="s">
        <v>3735</v>
      </c>
      <c r="J863" s="44" t="s">
        <v>3736</v>
      </c>
      <c r="K863" s="44" t="s">
        <v>5067</v>
      </c>
      <c r="L863" s="1" t="s">
        <v>7038</v>
      </c>
      <c r="M863" s="1" t="s">
        <v>6644</v>
      </c>
      <c r="N863" s="1" t="s">
        <v>8107</v>
      </c>
    </row>
    <row r="864" spans="1:14">
      <c r="A864" s="1" t="s">
        <v>3409</v>
      </c>
      <c r="B864" s="1" t="s">
        <v>3410</v>
      </c>
      <c r="C864" s="1" t="s">
        <v>3410</v>
      </c>
      <c r="D864" s="1" t="s">
        <v>3932</v>
      </c>
      <c r="E864" s="1" t="s">
        <v>10603</v>
      </c>
      <c r="F864" s="1" t="s">
        <v>5546</v>
      </c>
      <c r="G864" t="s">
        <v>10604</v>
      </c>
      <c r="H864">
        <v>16550</v>
      </c>
      <c r="I864" s="1" t="s">
        <v>3412</v>
      </c>
      <c r="J864" s="44" t="s">
        <v>3412</v>
      </c>
      <c r="K864" s="44" t="s">
        <v>5001</v>
      </c>
      <c r="L864" s="1" t="s">
        <v>7530</v>
      </c>
      <c r="M864" s="1" t="s">
        <v>6909</v>
      </c>
      <c r="N864" s="1" t="s">
        <v>8090</v>
      </c>
    </row>
    <row r="865" spans="1:14">
      <c r="A865" s="1" t="s">
        <v>3761</v>
      </c>
      <c r="B865" s="1" t="s">
        <v>3762</v>
      </c>
      <c r="C865" s="1" t="s">
        <v>3763</v>
      </c>
      <c r="D865" s="1" t="s">
        <v>3938</v>
      </c>
      <c r="E865" s="1" t="s">
        <v>10605</v>
      </c>
      <c r="F865" s="1" t="s">
        <v>6372</v>
      </c>
      <c r="G865" t="s">
        <v>10606</v>
      </c>
      <c r="H865">
        <v>15833</v>
      </c>
      <c r="I865" s="1" t="s">
        <v>3765</v>
      </c>
      <c r="J865" s="44" t="s">
        <v>3766</v>
      </c>
      <c r="K865" s="44" t="s">
        <v>5067</v>
      </c>
      <c r="L865" s="1" t="s">
        <v>5061</v>
      </c>
      <c r="M865" s="1" t="s">
        <v>4996</v>
      </c>
      <c r="N865" s="1" t="s">
        <v>8396</v>
      </c>
    </row>
    <row r="866" spans="1:14">
      <c r="A866" s="1" t="s">
        <v>2321</v>
      </c>
      <c r="B866" s="1" t="s">
        <v>2322</v>
      </c>
      <c r="C866" s="1" t="s">
        <v>2323</v>
      </c>
      <c r="D866" s="1" t="s">
        <v>3939</v>
      </c>
      <c r="E866" s="1" t="s">
        <v>9878</v>
      </c>
      <c r="F866" s="1" t="s">
        <v>5099</v>
      </c>
      <c r="G866" t="s">
        <v>10607</v>
      </c>
      <c r="H866">
        <v>15791</v>
      </c>
      <c r="I866" s="1" t="s">
        <v>2325</v>
      </c>
      <c r="J866" s="44" t="s">
        <v>2325</v>
      </c>
      <c r="K866" s="44" t="s">
        <v>5067</v>
      </c>
      <c r="L866" s="1"/>
      <c r="M866" s="1" t="s">
        <v>5386</v>
      </c>
      <c r="N866" s="1" t="s">
        <v>8102</v>
      </c>
    </row>
    <row r="867" spans="1:14">
      <c r="A867" s="1" t="s">
        <v>3717</v>
      </c>
      <c r="B867" s="1" t="s">
        <v>3718</v>
      </c>
      <c r="C867" s="1" t="s">
        <v>3718</v>
      </c>
      <c r="D867" s="1" t="s">
        <v>3943</v>
      </c>
      <c r="E867" s="1" t="s">
        <v>10608</v>
      </c>
      <c r="F867" s="1" t="s">
        <v>2203</v>
      </c>
      <c r="G867" t="s">
        <v>10609</v>
      </c>
      <c r="H867">
        <v>15758</v>
      </c>
      <c r="I867" s="1" t="s">
        <v>3720</v>
      </c>
      <c r="J867" s="44" t="s">
        <v>3720</v>
      </c>
      <c r="K867" s="44" t="s">
        <v>5067</v>
      </c>
      <c r="L867" s="1" t="s">
        <v>10610</v>
      </c>
      <c r="M867" s="1" t="s">
        <v>6106</v>
      </c>
      <c r="N867" s="1" t="s">
        <v>8065</v>
      </c>
    </row>
    <row r="868" spans="1:14">
      <c r="A868" s="1" t="s">
        <v>3563</v>
      </c>
      <c r="B868" s="1" t="s">
        <v>3564</v>
      </c>
      <c r="C868" s="1" t="s">
        <v>3565</v>
      </c>
      <c r="D868" s="1" t="s">
        <v>3948</v>
      </c>
      <c r="E868" s="1" t="s">
        <v>5977</v>
      </c>
      <c r="F868" s="1" t="s">
        <v>5177</v>
      </c>
      <c r="H868">
        <v>15382</v>
      </c>
      <c r="I868" s="1" t="s">
        <v>3567</v>
      </c>
      <c r="J868" s="44" t="s">
        <v>3568</v>
      </c>
      <c r="K868" s="44"/>
      <c r="L868" s="1"/>
      <c r="M868" s="1" t="s">
        <v>9241</v>
      </c>
      <c r="N868" s="1" t="s">
        <v>5978</v>
      </c>
    </row>
    <row r="869" spans="1:14">
      <c r="A869" s="1" t="s">
        <v>3660</v>
      </c>
      <c r="B869" s="1" t="s">
        <v>3661</v>
      </c>
      <c r="C869" s="1" t="s">
        <v>3662</v>
      </c>
      <c r="D869" s="1" t="s">
        <v>3950</v>
      </c>
      <c r="E869" s="1" t="s">
        <v>5979</v>
      </c>
      <c r="F869" s="1" t="s">
        <v>5717</v>
      </c>
      <c r="H869">
        <v>15367</v>
      </c>
      <c r="I869" s="1" t="s">
        <v>3664</v>
      </c>
      <c r="J869" s="44" t="s">
        <v>3664</v>
      </c>
      <c r="K869" s="44"/>
      <c r="L869" s="1" t="s">
        <v>5756</v>
      </c>
      <c r="M869" s="1" t="s">
        <v>7628</v>
      </c>
      <c r="N869" s="1" t="s">
        <v>5980</v>
      </c>
    </row>
    <row r="870" spans="1:14">
      <c r="A870" s="1" t="s">
        <v>3597</v>
      </c>
      <c r="B870" s="1" t="s">
        <v>3598</v>
      </c>
      <c r="C870" s="1" t="s">
        <v>3599</v>
      </c>
      <c r="D870" s="1" t="s">
        <v>3951</v>
      </c>
      <c r="E870" s="1" t="s">
        <v>8025</v>
      </c>
      <c r="F870" s="1" t="s">
        <v>5702</v>
      </c>
      <c r="G870" t="s">
        <v>8026</v>
      </c>
      <c r="H870">
        <v>14887</v>
      </c>
      <c r="I870" s="1" t="s">
        <v>3601</v>
      </c>
      <c r="J870" s="44" t="s">
        <v>3602</v>
      </c>
      <c r="K870" s="44" t="s">
        <v>5569</v>
      </c>
      <c r="L870" s="1" t="s">
        <v>7896</v>
      </c>
      <c r="M870" s="1" t="s">
        <v>7922</v>
      </c>
      <c r="N870" s="1" t="s">
        <v>8112</v>
      </c>
    </row>
    <row r="871" spans="1:14">
      <c r="A871" s="1" t="s">
        <v>3557</v>
      </c>
      <c r="B871" s="1" t="s">
        <v>3558</v>
      </c>
      <c r="C871" s="1" t="s">
        <v>3559</v>
      </c>
      <c r="D871" s="1" t="s">
        <v>3955</v>
      </c>
      <c r="E871" s="1" t="s">
        <v>10611</v>
      </c>
      <c r="F871" s="1" t="s">
        <v>6262</v>
      </c>
      <c r="G871" t="s">
        <v>10612</v>
      </c>
      <c r="H871">
        <v>14847</v>
      </c>
      <c r="I871" s="1" t="s">
        <v>3561</v>
      </c>
      <c r="J871" s="44" t="s">
        <v>3562</v>
      </c>
      <c r="K871" s="44" t="s">
        <v>5067</v>
      </c>
      <c r="L871" s="1" t="s">
        <v>10613</v>
      </c>
      <c r="M871" s="1" t="s">
        <v>7091</v>
      </c>
      <c r="N871" s="1" t="s">
        <v>8133</v>
      </c>
    </row>
    <row r="872" spans="1:14">
      <c r="A872" s="1" t="s">
        <v>3678</v>
      </c>
      <c r="B872" s="1" t="s">
        <v>3679</v>
      </c>
      <c r="C872" s="1" t="s">
        <v>3680</v>
      </c>
      <c r="D872" s="1" t="s">
        <v>3959</v>
      </c>
      <c r="E872" s="1" t="s">
        <v>10614</v>
      </c>
      <c r="F872" s="1" t="s">
        <v>1917</v>
      </c>
      <c r="G872" t="s">
        <v>10615</v>
      </c>
      <c r="H872">
        <v>14387</v>
      </c>
      <c r="I872" s="1" t="s">
        <v>3682</v>
      </c>
      <c r="J872" s="44" t="s">
        <v>3682</v>
      </c>
      <c r="K872" s="44" t="s">
        <v>8057</v>
      </c>
      <c r="L872" s="1" t="s">
        <v>10616</v>
      </c>
      <c r="M872" s="1" t="s">
        <v>10617</v>
      </c>
      <c r="N872" s="1" t="s">
        <v>8098</v>
      </c>
    </row>
    <row r="873" spans="1:14">
      <c r="A873" s="1" t="s">
        <v>3499</v>
      </c>
      <c r="B873" s="1" t="s">
        <v>3500</v>
      </c>
      <c r="C873" s="1" t="s">
        <v>3501</v>
      </c>
      <c r="D873" s="1" t="s">
        <v>3964</v>
      </c>
      <c r="E873" s="1" t="s">
        <v>10618</v>
      </c>
      <c r="F873" s="1" t="s">
        <v>6002</v>
      </c>
      <c r="G873" t="s">
        <v>10619</v>
      </c>
      <c r="H873">
        <v>14232</v>
      </c>
      <c r="I873" s="1" t="s">
        <v>5572</v>
      </c>
      <c r="J873" s="44" t="s">
        <v>5572</v>
      </c>
      <c r="K873" s="44" t="s">
        <v>5001</v>
      </c>
      <c r="L873" s="1" t="s">
        <v>7061</v>
      </c>
      <c r="M873" s="1" t="s">
        <v>7841</v>
      </c>
      <c r="N873" s="1" t="s">
        <v>8263</v>
      </c>
    </row>
    <row r="874" spans="1:14">
      <c r="A874" s="1" t="s">
        <v>3633</v>
      </c>
      <c r="B874" s="1" t="s">
        <v>3634</v>
      </c>
      <c r="C874" s="1" t="s">
        <v>3635</v>
      </c>
      <c r="D874" s="1" t="s">
        <v>3968</v>
      </c>
      <c r="E874" s="1" t="s">
        <v>10620</v>
      </c>
      <c r="F874" s="1" t="s">
        <v>5988</v>
      </c>
      <c r="G874" t="s">
        <v>10621</v>
      </c>
      <c r="H874">
        <v>14127</v>
      </c>
      <c r="I874" s="1" t="s">
        <v>3637</v>
      </c>
      <c r="J874" s="44" t="s">
        <v>3637</v>
      </c>
      <c r="K874" s="44" t="s">
        <v>5067</v>
      </c>
      <c r="L874" s="1" t="s">
        <v>5050</v>
      </c>
      <c r="M874" s="1" t="s">
        <v>10622</v>
      </c>
      <c r="N874" s="1" t="s">
        <v>8263</v>
      </c>
    </row>
    <row r="875" spans="1:14">
      <c r="A875" s="1" t="s">
        <v>3825</v>
      </c>
      <c r="B875" s="1" t="s">
        <v>3826</v>
      </c>
      <c r="C875" s="1" t="s">
        <v>3827</v>
      </c>
      <c r="D875" s="1" t="s">
        <v>3973</v>
      </c>
      <c r="E875" s="1" t="s">
        <v>10623</v>
      </c>
      <c r="F875" s="1" t="s">
        <v>6373</v>
      </c>
      <c r="G875" t="s">
        <v>10624</v>
      </c>
      <c r="H875">
        <v>14028</v>
      </c>
      <c r="I875" s="1" t="s">
        <v>3829</v>
      </c>
      <c r="J875" s="44" t="s">
        <v>3830</v>
      </c>
      <c r="K875" s="44" t="s">
        <v>5067</v>
      </c>
      <c r="L875" s="1" t="s">
        <v>5843</v>
      </c>
      <c r="M875" s="1" t="s">
        <v>7205</v>
      </c>
      <c r="N875" s="1" t="s">
        <v>8396</v>
      </c>
    </row>
    <row r="876" spans="1:14">
      <c r="A876" s="1" t="s">
        <v>3790</v>
      </c>
      <c r="B876" s="1" t="s">
        <v>3791</v>
      </c>
      <c r="C876" s="1" t="s">
        <v>3792</v>
      </c>
      <c r="D876" s="1" t="s">
        <v>3977</v>
      </c>
      <c r="E876" s="1" t="s">
        <v>5570</v>
      </c>
      <c r="F876" s="1" t="s">
        <v>2901</v>
      </c>
      <c r="H876">
        <v>12953</v>
      </c>
      <c r="I876" s="1" t="s">
        <v>3794</v>
      </c>
      <c r="J876" s="44" t="s">
        <v>3794</v>
      </c>
      <c r="K876" s="44"/>
      <c r="L876" s="1"/>
      <c r="M876" s="1" t="s">
        <v>7337</v>
      </c>
      <c r="N876" s="1" t="s">
        <v>5571</v>
      </c>
    </row>
    <row r="877" spans="1:14">
      <c r="A877" s="1" t="s">
        <v>3781</v>
      </c>
      <c r="B877" s="1" t="s">
        <v>3782</v>
      </c>
      <c r="C877" s="1" t="s">
        <v>3783</v>
      </c>
      <c r="D877" s="1" t="s">
        <v>3981</v>
      </c>
      <c r="E877" s="1" t="s">
        <v>9988</v>
      </c>
      <c r="F877" s="1" t="s">
        <v>1312</v>
      </c>
      <c r="G877" t="s">
        <v>10625</v>
      </c>
      <c r="H877">
        <v>12256</v>
      </c>
      <c r="I877" s="1" t="s">
        <v>361</v>
      </c>
      <c r="J877" s="44" t="s">
        <v>361</v>
      </c>
      <c r="K877" s="44" t="s">
        <v>7869</v>
      </c>
      <c r="L877" s="1" t="s">
        <v>10626</v>
      </c>
      <c r="M877" s="1" t="s">
        <v>8027</v>
      </c>
      <c r="N877" s="1" t="s">
        <v>8121</v>
      </c>
    </row>
    <row r="878" spans="1:14">
      <c r="A878" s="1" t="s">
        <v>3647</v>
      </c>
      <c r="B878" s="1" t="s">
        <v>3648</v>
      </c>
      <c r="C878" s="1" t="s">
        <v>3649</v>
      </c>
      <c r="D878" s="1" t="s">
        <v>3985</v>
      </c>
      <c r="E878" s="1" t="s">
        <v>10627</v>
      </c>
      <c r="F878" s="1" t="s">
        <v>5561</v>
      </c>
      <c r="G878" t="s">
        <v>10628</v>
      </c>
      <c r="H878">
        <v>11637</v>
      </c>
      <c r="I878" s="1" t="s">
        <v>5307</v>
      </c>
      <c r="J878" s="44" t="s">
        <v>3651</v>
      </c>
      <c r="K878" s="44" t="s">
        <v>5122</v>
      </c>
      <c r="L878" s="1" t="s">
        <v>6115</v>
      </c>
      <c r="M878" s="1" t="s">
        <v>7889</v>
      </c>
      <c r="N878" s="1" t="s">
        <v>8098</v>
      </c>
    </row>
    <row r="879" spans="1:14">
      <c r="A879" s="1" t="s">
        <v>3836</v>
      </c>
      <c r="B879" s="1" t="s">
        <v>3837</v>
      </c>
      <c r="C879" s="1" t="s">
        <v>3838</v>
      </c>
      <c r="D879" s="1" t="s">
        <v>3989</v>
      </c>
      <c r="E879" s="1" t="s">
        <v>6374</v>
      </c>
      <c r="F879" s="1" t="s">
        <v>5546</v>
      </c>
      <c r="H879">
        <v>11144</v>
      </c>
      <c r="I879" s="1" t="s">
        <v>3840</v>
      </c>
      <c r="J879" s="44" t="s">
        <v>3840</v>
      </c>
      <c r="K879" s="44"/>
      <c r="L879" s="1" t="s">
        <v>10629</v>
      </c>
      <c r="M879" s="1" t="s">
        <v>10630</v>
      </c>
      <c r="N879" s="1" t="s">
        <v>6375</v>
      </c>
    </row>
    <row r="880" spans="1:14">
      <c r="A880" s="1" t="s">
        <v>3742</v>
      </c>
      <c r="B880" s="1" t="s">
        <v>3743</v>
      </c>
      <c r="C880" s="1" t="s">
        <v>3744</v>
      </c>
      <c r="D880" s="1" t="s">
        <v>3993</v>
      </c>
      <c r="E880" s="1" t="s">
        <v>10631</v>
      </c>
      <c r="F880" s="1" t="s">
        <v>5560</v>
      </c>
      <c r="G880" t="s">
        <v>10632</v>
      </c>
      <c r="H880">
        <v>10737</v>
      </c>
      <c r="I880" s="1" t="s">
        <v>3746</v>
      </c>
      <c r="J880" s="44" t="s">
        <v>3746</v>
      </c>
      <c r="K880" s="44" t="s">
        <v>5067</v>
      </c>
      <c r="L880" s="1" t="s">
        <v>7655</v>
      </c>
      <c r="M880" s="1" t="s">
        <v>6480</v>
      </c>
      <c r="N880" s="1" t="s">
        <v>8112</v>
      </c>
    </row>
    <row r="881" spans="1:14">
      <c r="A881" s="1" t="s">
        <v>3484</v>
      </c>
      <c r="B881" s="1" t="s">
        <v>3485</v>
      </c>
      <c r="C881" s="1" t="s">
        <v>3486</v>
      </c>
      <c r="D881" s="1" t="s">
        <v>3998</v>
      </c>
      <c r="E881" s="1" t="s">
        <v>10633</v>
      </c>
      <c r="F881" s="1" t="s">
        <v>1997</v>
      </c>
      <c r="G881" t="s">
        <v>10634</v>
      </c>
      <c r="H881">
        <v>9208</v>
      </c>
      <c r="I881" s="1" t="s">
        <v>10635</v>
      </c>
      <c r="J881" s="44" t="s">
        <v>10635</v>
      </c>
      <c r="K881" s="44" t="s">
        <v>10636</v>
      </c>
      <c r="L881" s="1" t="s">
        <v>7214</v>
      </c>
      <c r="M881" s="1" t="s">
        <v>8028</v>
      </c>
      <c r="N881" s="1" t="s">
        <v>8121</v>
      </c>
    </row>
    <row r="882" spans="1:14">
      <c r="A882" s="1" t="s">
        <v>3812</v>
      </c>
      <c r="B882" s="1" t="s">
        <v>3813</v>
      </c>
      <c r="C882" s="1" t="s">
        <v>3814</v>
      </c>
      <c r="D882" s="1" t="s">
        <v>4002</v>
      </c>
      <c r="E882" s="1" t="s">
        <v>10637</v>
      </c>
      <c r="F882" s="1" t="s">
        <v>6376</v>
      </c>
      <c r="G882" t="s">
        <v>10638</v>
      </c>
      <c r="H882">
        <v>9012</v>
      </c>
      <c r="I882" s="1" t="s">
        <v>6377</v>
      </c>
      <c r="J882" s="44" t="s">
        <v>6377</v>
      </c>
      <c r="K882" s="44" t="s">
        <v>5067</v>
      </c>
      <c r="L882" s="1" t="s">
        <v>6974</v>
      </c>
      <c r="M882" s="1"/>
      <c r="N882" s="1" t="s">
        <v>8263</v>
      </c>
    </row>
    <row r="883" spans="1:14">
      <c r="A883" s="1" t="s">
        <v>3795</v>
      </c>
      <c r="B883" s="1" t="s">
        <v>3796</v>
      </c>
      <c r="C883" s="1" t="s">
        <v>3797</v>
      </c>
      <c r="D883" s="1" t="s">
        <v>4006</v>
      </c>
      <c r="E883" s="1" t="s">
        <v>10639</v>
      </c>
      <c r="F883" s="1" t="s">
        <v>6378</v>
      </c>
      <c r="G883" t="s">
        <v>10640</v>
      </c>
      <c r="H883">
        <v>8979</v>
      </c>
      <c r="I883" s="1" t="s">
        <v>3799</v>
      </c>
      <c r="J883" s="44" t="s">
        <v>3800</v>
      </c>
      <c r="K883" s="44" t="s">
        <v>5067</v>
      </c>
      <c r="L883" s="1" t="s">
        <v>5666</v>
      </c>
      <c r="M883" s="1" t="s">
        <v>7291</v>
      </c>
      <c r="N883" s="1" t="s">
        <v>8396</v>
      </c>
    </row>
    <row r="884" spans="1:14">
      <c r="A884" s="1" t="s">
        <v>3841</v>
      </c>
      <c r="B884" s="1" t="s">
        <v>3842</v>
      </c>
      <c r="C884" s="1" t="s">
        <v>3843</v>
      </c>
      <c r="D884" s="1" t="s">
        <v>4011</v>
      </c>
      <c r="E884" s="1" t="s">
        <v>10197</v>
      </c>
      <c r="F884" s="1" t="s">
        <v>3168</v>
      </c>
      <c r="G884" t="s">
        <v>10641</v>
      </c>
      <c r="H884">
        <v>8600</v>
      </c>
      <c r="I884" s="1" t="s">
        <v>3845</v>
      </c>
      <c r="J884" s="44" t="s">
        <v>3846</v>
      </c>
      <c r="K884" s="44" t="s">
        <v>5001</v>
      </c>
      <c r="L884" s="1" t="s">
        <v>10642</v>
      </c>
      <c r="M884" s="1" t="s">
        <v>7192</v>
      </c>
      <c r="N884" s="1" t="s">
        <v>8396</v>
      </c>
    </row>
    <row r="885" spans="1:14">
      <c r="A885" s="1" t="s">
        <v>3852</v>
      </c>
      <c r="B885" s="1" t="s">
        <v>3853</v>
      </c>
      <c r="C885" s="1" t="s">
        <v>3854</v>
      </c>
      <c r="D885" s="1" t="s">
        <v>4015</v>
      </c>
      <c r="E885" s="1" t="s">
        <v>10332</v>
      </c>
      <c r="F885" s="1" t="s">
        <v>2901</v>
      </c>
      <c r="G885" t="s">
        <v>10643</v>
      </c>
      <c r="H885">
        <v>7347</v>
      </c>
      <c r="I885" s="1" t="s">
        <v>3856</v>
      </c>
      <c r="J885" s="44" t="s">
        <v>3857</v>
      </c>
      <c r="K885" s="44" t="s">
        <v>5067</v>
      </c>
      <c r="L885" s="1" t="s">
        <v>7260</v>
      </c>
      <c r="M885" s="1" t="s">
        <v>6292</v>
      </c>
      <c r="N885" s="1" t="s">
        <v>8162</v>
      </c>
    </row>
    <row r="886" spans="1:14">
      <c r="A886" s="1" t="s">
        <v>3806</v>
      </c>
      <c r="B886" s="1" t="s">
        <v>3807</v>
      </c>
      <c r="C886" s="1" t="s">
        <v>3808</v>
      </c>
      <c r="D886" s="1" t="s">
        <v>4019</v>
      </c>
      <c r="E886" s="1" t="s">
        <v>10644</v>
      </c>
      <c r="F886" s="1" t="s">
        <v>6251</v>
      </c>
      <c r="G886" t="s">
        <v>10645</v>
      </c>
      <c r="H886">
        <v>7266</v>
      </c>
      <c r="I886" s="1" t="s">
        <v>3810</v>
      </c>
      <c r="J886" s="44" t="s">
        <v>3811</v>
      </c>
      <c r="K886" s="44" t="s">
        <v>5067</v>
      </c>
      <c r="L886" s="1" t="s">
        <v>10646</v>
      </c>
      <c r="M886" s="1" t="s">
        <v>10647</v>
      </c>
      <c r="N886" s="1" t="s">
        <v>8133</v>
      </c>
    </row>
    <row r="887" spans="1:14">
      <c r="A887" s="1" t="s">
        <v>3820</v>
      </c>
      <c r="B887" s="1" t="s">
        <v>3821</v>
      </c>
      <c r="C887" s="1" t="s">
        <v>3822</v>
      </c>
      <c r="D887" s="1" t="s">
        <v>4023</v>
      </c>
      <c r="E887" s="1" t="s">
        <v>10648</v>
      </c>
      <c r="F887" s="1" t="s">
        <v>7729</v>
      </c>
      <c r="G887" t="s">
        <v>10649</v>
      </c>
      <c r="H887">
        <v>6867</v>
      </c>
      <c r="I887" s="1" t="s">
        <v>3824</v>
      </c>
      <c r="J887" s="44" t="s">
        <v>3824</v>
      </c>
      <c r="K887" s="44" t="s">
        <v>6204</v>
      </c>
      <c r="L887" s="1" t="s">
        <v>6080</v>
      </c>
      <c r="M887" s="1" t="s">
        <v>6466</v>
      </c>
      <c r="N887" s="1" t="s">
        <v>8098</v>
      </c>
    </row>
    <row r="888" spans="1:14">
      <c r="A888" s="1" t="s">
        <v>3756</v>
      </c>
      <c r="B888" s="1" t="s">
        <v>3757</v>
      </c>
      <c r="C888" s="1" t="s">
        <v>3758</v>
      </c>
      <c r="D888" s="1" t="s">
        <v>4027</v>
      </c>
      <c r="E888" s="1" t="s">
        <v>10650</v>
      </c>
      <c r="F888" s="1" t="s">
        <v>7087</v>
      </c>
      <c r="G888" t="s">
        <v>10651</v>
      </c>
      <c r="H888">
        <v>6507</v>
      </c>
      <c r="I888" s="1" t="s">
        <v>3760</v>
      </c>
      <c r="J888" s="44" t="s">
        <v>199</v>
      </c>
      <c r="K888" s="44" t="s">
        <v>5065</v>
      </c>
      <c r="L888" s="1" t="s">
        <v>7683</v>
      </c>
      <c r="M888" s="1" t="s">
        <v>5773</v>
      </c>
      <c r="N888" s="1" t="s">
        <v>8396</v>
      </c>
    </row>
    <row r="889" spans="1:14">
      <c r="A889" s="1" t="s">
        <v>3831</v>
      </c>
      <c r="B889" s="1" t="s">
        <v>3832</v>
      </c>
      <c r="C889" s="1" t="s">
        <v>3833</v>
      </c>
      <c r="D889" s="1" t="s">
        <v>2845</v>
      </c>
      <c r="E889" s="1" t="s">
        <v>9988</v>
      </c>
      <c r="F889" s="1" t="s">
        <v>1312</v>
      </c>
      <c r="G889" t="s">
        <v>10652</v>
      </c>
      <c r="H889">
        <v>6167</v>
      </c>
      <c r="I889" s="1" t="s">
        <v>3835</v>
      </c>
      <c r="J889" s="44" t="s">
        <v>3835</v>
      </c>
      <c r="K889" s="44" t="s">
        <v>7869</v>
      </c>
      <c r="L889" s="1" t="s">
        <v>5791</v>
      </c>
      <c r="M889" s="1" t="s">
        <v>10653</v>
      </c>
      <c r="N889" s="1" t="s">
        <v>8090</v>
      </c>
    </row>
    <row r="890" spans="1:14">
      <c r="A890" s="1" t="s">
        <v>2243</v>
      </c>
      <c r="B890" s="1" t="s">
        <v>2244</v>
      </c>
      <c r="C890" s="1" t="s">
        <v>2245</v>
      </c>
      <c r="D890" s="1" t="s">
        <v>4035</v>
      </c>
      <c r="E890" s="1" t="s">
        <v>10154</v>
      </c>
      <c r="F890" s="1" t="s">
        <v>5974</v>
      </c>
      <c r="G890" t="s">
        <v>10654</v>
      </c>
      <c r="H890">
        <v>6159</v>
      </c>
      <c r="I890" s="1" t="s">
        <v>4940</v>
      </c>
      <c r="J890" s="44" t="s">
        <v>4941</v>
      </c>
      <c r="K890" s="44" t="s">
        <v>5067</v>
      </c>
      <c r="L890" s="1" t="s">
        <v>10655</v>
      </c>
      <c r="M890" s="1" t="s">
        <v>6779</v>
      </c>
      <c r="N890" s="1" t="s">
        <v>8171</v>
      </c>
    </row>
    <row r="891" spans="1:14">
      <c r="A891" s="1" t="s">
        <v>3885</v>
      </c>
      <c r="B891" s="1" t="s">
        <v>3886</v>
      </c>
      <c r="C891" s="1" t="s">
        <v>3887</v>
      </c>
      <c r="D891" s="1" t="s">
        <v>4039</v>
      </c>
      <c r="E891" s="1" t="s">
        <v>10209</v>
      </c>
      <c r="F891" s="1" t="s">
        <v>1372</v>
      </c>
      <c r="G891" t="s">
        <v>10656</v>
      </c>
      <c r="H891">
        <v>5084</v>
      </c>
      <c r="I891" s="1" t="s">
        <v>3889</v>
      </c>
      <c r="J891" s="44" t="s">
        <v>3889</v>
      </c>
      <c r="K891" s="44" t="s">
        <v>5067</v>
      </c>
      <c r="L891" s="1" t="s">
        <v>10657</v>
      </c>
      <c r="M891" s="1" t="s">
        <v>10647</v>
      </c>
      <c r="N891" s="1" t="s">
        <v>8098</v>
      </c>
    </row>
    <row r="892" spans="1:14">
      <c r="A892" s="1" t="s">
        <v>3874</v>
      </c>
      <c r="B892" s="1" t="s">
        <v>3875</v>
      </c>
      <c r="C892" s="1" t="s">
        <v>3876</v>
      </c>
      <c r="D892" s="1" t="s">
        <v>4043</v>
      </c>
      <c r="E892" s="1" t="s">
        <v>6380</v>
      </c>
      <c r="F892" s="1" t="s">
        <v>1709</v>
      </c>
      <c r="H892">
        <v>4691</v>
      </c>
      <c r="I892" s="1" t="s">
        <v>3878</v>
      </c>
      <c r="J892" s="44" t="s">
        <v>3878</v>
      </c>
      <c r="K892" s="44"/>
      <c r="L892" s="1" t="s">
        <v>5494</v>
      </c>
      <c r="M892" s="1" t="s">
        <v>7913</v>
      </c>
      <c r="N892" s="1" t="s">
        <v>6381</v>
      </c>
    </row>
    <row r="893" spans="1:14">
      <c r="A893" s="1" t="s">
        <v>3879</v>
      </c>
      <c r="B893" s="1" t="s">
        <v>3880</v>
      </c>
      <c r="C893" s="1" t="s">
        <v>3881</v>
      </c>
      <c r="D893" s="1" t="s">
        <v>4047</v>
      </c>
      <c r="E893" s="1" t="s">
        <v>10658</v>
      </c>
      <c r="F893" s="1" t="s">
        <v>5981</v>
      </c>
      <c r="G893" t="s">
        <v>10659</v>
      </c>
      <c r="H893">
        <v>4141</v>
      </c>
      <c r="I893" s="1" t="s">
        <v>3883</v>
      </c>
      <c r="J893" s="44" t="s">
        <v>3884</v>
      </c>
      <c r="K893" s="44" t="s">
        <v>5001</v>
      </c>
      <c r="L893" s="1" t="s">
        <v>7676</v>
      </c>
      <c r="M893" s="1" t="s">
        <v>10660</v>
      </c>
      <c r="N893" s="1" t="s">
        <v>8070</v>
      </c>
    </row>
    <row r="894" spans="1:14">
      <c r="A894" s="1" t="s">
        <v>3868</v>
      </c>
      <c r="B894" s="1" t="s">
        <v>3869</v>
      </c>
      <c r="C894" s="1" t="s">
        <v>3870</v>
      </c>
      <c r="D894" s="1" t="s">
        <v>4048</v>
      </c>
      <c r="E894" s="1" t="s">
        <v>10661</v>
      </c>
      <c r="F894" s="1" t="s">
        <v>2868</v>
      </c>
      <c r="G894" t="s">
        <v>10662</v>
      </c>
      <c r="H894">
        <v>3664</v>
      </c>
      <c r="I894" s="1" t="s">
        <v>3872</v>
      </c>
      <c r="J894" s="44" t="s">
        <v>3873</v>
      </c>
      <c r="K894" s="44" t="s">
        <v>5067</v>
      </c>
      <c r="L894" s="1" t="s">
        <v>10663</v>
      </c>
      <c r="M894" s="1" t="s">
        <v>7431</v>
      </c>
      <c r="N894" s="1" t="s">
        <v>8080</v>
      </c>
    </row>
    <row r="895" spans="1:14">
      <c r="A895" s="1" t="s">
        <v>3847</v>
      </c>
      <c r="B895" s="1" t="s">
        <v>3848</v>
      </c>
      <c r="C895" s="1" t="s">
        <v>3849</v>
      </c>
      <c r="D895" s="1" t="s">
        <v>4052</v>
      </c>
      <c r="E895" s="1" t="s">
        <v>5573</v>
      </c>
      <c r="F895" s="1" t="s">
        <v>5574</v>
      </c>
      <c r="H895">
        <v>3218</v>
      </c>
      <c r="I895" s="1" t="s">
        <v>3851</v>
      </c>
      <c r="J895" s="44" t="s">
        <v>199</v>
      </c>
      <c r="K895" s="44"/>
      <c r="L895" s="1"/>
      <c r="M895" s="1" t="s">
        <v>6972</v>
      </c>
      <c r="N895" s="1" t="s">
        <v>5575</v>
      </c>
    </row>
    <row r="896" spans="1:14">
      <c r="A896" s="1" t="s">
        <v>3752</v>
      </c>
      <c r="B896" s="1" t="s">
        <v>3753</v>
      </c>
      <c r="C896" s="1" t="s">
        <v>3754</v>
      </c>
      <c r="D896" s="1" t="s">
        <v>4056</v>
      </c>
      <c r="E896" s="1" t="s">
        <v>10664</v>
      </c>
      <c r="F896" s="1" t="s">
        <v>5341</v>
      </c>
      <c r="G896" t="s">
        <v>10665</v>
      </c>
      <c r="H896">
        <v>2475</v>
      </c>
      <c r="I896" s="1" t="s">
        <v>199</v>
      </c>
      <c r="J896" s="44" t="s">
        <v>2010</v>
      </c>
      <c r="K896" s="44" t="s">
        <v>5122</v>
      </c>
      <c r="L896" s="1" t="s">
        <v>6587</v>
      </c>
      <c r="M896" s="1" t="s">
        <v>10666</v>
      </c>
      <c r="N896" s="1" t="s">
        <v>8162</v>
      </c>
    </row>
    <row r="897" spans="1:14">
      <c r="A897" s="1" t="s">
        <v>2348</v>
      </c>
      <c r="B897" s="1" t="s">
        <v>2349</v>
      </c>
      <c r="C897" s="1" t="s">
        <v>2350</v>
      </c>
      <c r="D897" s="1" t="s">
        <v>4060</v>
      </c>
      <c r="E897" s="1" t="s">
        <v>10667</v>
      </c>
      <c r="F897" s="1" t="s">
        <v>6382</v>
      </c>
      <c r="G897" t="s">
        <v>10668</v>
      </c>
      <c r="H897">
        <v>2427</v>
      </c>
      <c r="I897" s="1" t="s">
        <v>2352</v>
      </c>
      <c r="J897" s="44" t="s">
        <v>2352</v>
      </c>
      <c r="K897" s="44" t="s">
        <v>5001</v>
      </c>
      <c r="L897" s="1" t="s">
        <v>5791</v>
      </c>
      <c r="M897" s="1" t="s">
        <v>7806</v>
      </c>
      <c r="N897" s="1" t="s">
        <v>8090</v>
      </c>
    </row>
    <row r="898" spans="1:14">
      <c r="A898" s="1" t="s">
        <v>3906</v>
      </c>
      <c r="B898" s="1" t="s">
        <v>3907</v>
      </c>
      <c r="C898" s="1" t="s">
        <v>3908</v>
      </c>
      <c r="D898" s="1" t="s">
        <v>4063</v>
      </c>
      <c r="E898" s="1" t="s">
        <v>6383</v>
      </c>
      <c r="F898" s="1" t="s">
        <v>2934</v>
      </c>
      <c r="H898">
        <v>2410</v>
      </c>
      <c r="I898" s="1" t="s">
        <v>3910</v>
      </c>
      <c r="J898" s="44" t="s">
        <v>3911</v>
      </c>
      <c r="K898" s="44"/>
      <c r="L898" s="1" t="s">
        <v>5830</v>
      </c>
      <c r="M898" s="1" t="s">
        <v>5756</v>
      </c>
      <c r="N898" s="1" t="s">
        <v>6384</v>
      </c>
    </row>
    <row r="899" spans="1:14">
      <c r="A899" s="1" t="s">
        <v>3772</v>
      </c>
      <c r="B899" s="1" t="s">
        <v>3773</v>
      </c>
      <c r="C899" s="1" t="s">
        <v>3774</v>
      </c>
      <c r="D899" s="1" t="s">
        <v>4066</v>
      </c>
      <c r="E899" s="1" t="s">
        <v>9978</v>
      </c>
      <c r="F899" s="1" t="s">
        <v>1709</v>
      </c>
      <c r="G899" t="s">
        <v>10218</v>
      </c>
      <c r="H899">
        <v>2222</v>
      </c>
      <c r="I899" s="1" t="s">
        <v>3776</v>
      </c>
      <c r="J899" s="44" t="s">
        <v>3776</v>
      </c>
      <c r="K899" s="44" t="s">
        <v>8031</v>
      </c>
      <c r="L899" s="1" t="s">
        <v>10669</v>
      </c>
      <c r="M899" s="1" t="s">
        <v>10670</v>
      </c>
      <c r="N899" s="1" t="s">
        <v>8074</v>
      </c>
    </row>
    <row r="900" spans="1:14">
      <c r="A900" s="1" t="s">
        <v>3901</v>
      </c>
      <c r="B900" s="1" t="s">
        <v>3902</v>
      </c>
      <c r="C900" s="1" t="s">
        <v>3903</v>
      </c>
      <c r="D900" s="1" t="s">
        <v>4070</v>
      </c>
      <c r="E900" s="1" t="s">
        <v>9978</v>
      </c>
      <c r="F900" s="1" t="s">
        <v>1709</v>
      </c>
      <c r="G900" t="s">
        <v>10671</v>
      </c>
      <c r="H900">
        <v>2188</v>
      </c>
      <c r="I900" s="1" t="s">
        <v>3905</v>
      </c>
      <c r="J900" s="44" t="s">
        <v>3905</v>
      </c>
      <c r="K900" s="44" t="s">
        <v>5067</v>
      </c>
      <c r="L900" s="1" t="s">
        <v>7038</v>
      </c>
      <c r="M900" s="1" t="s">
        <v>5833</v>
      </c>
      <c r="N900" s="1" t="s">
        <v>8065</v>
      </c>
    </row>
    <row r="901" spans="1:14">
      <c r="A901" s="1" t="s">
        <v>3890</v>
      </c>
      <c r="B901" s="1" t="s">
        <v>3891</v>
      </c>
      <c r="C901" s="1" t="s">
        <v>3892</v>
      </c>
      <c r="D901" s="1" t="s">
        <v>4075</v>
      </c>
      <c r="E901" s="1" t="s">
        <v>10672</v>
      </c>
      <c r="F901" s="1" t="s">
        <v>2760</v>
      </c>
      <c r="G901" t="s">
        <v>10673</v>
      </c>
      <c r="H901">
        <v>1433</v>
      </c>
      <c r="I901" s="1" t="s">
        <v>199</v>
      </c>
      <c r="J901" s="44" t="s">
        <v>199</v>
      </c>
      <c r="K901" s="44" t="s">
        <v>5065</v>
      </c>
      <c r="L901" s="1" t="s">
        <v>6115</v>
      </c>
      <c r="M901" s="1"/>
      <c r="N901" s="1" t="s">
        <v>8162</v>
      </c>
    </row>
    <row r="902" spans="1:14">
      <c r="A902" s="1" t="s">
        <v>3912</v>
      </c>
      <c r="B902" s="1" t="s">
        <v>3913</v>
      </c>
      <c r="C902" s="1" t="s">
        <v>3914</v>
      </c>
      <c r="D902" s="1" t="s">
        <v>4078</v>
      </c>
      <c r="E902" s="1" t="s">
        <v>5982</v>
      </c>
      <c r="F902" s="1" t="s">
        <v>1158</v>
      </c>
      <c r="H902">
        <v>760</v>
      </c>
      <c r="I902" s="1" t="s">
        <v>3916</v>
      </c>
      <c r="J902" s="44" t="s">
        <v>3917</v>
      </c>
      <c r="K902" s="44"/>
      <c r="L902" s="1" t="s">
        <v>5791</v>
      </c>
      <c r="M902" s="1" t="s">
        <v>6070</v>
      </c>
      <c r="N902" s="1" t="s">
        <v>5983</v>
      </c>
    </row>
    <row r="903" spans="1:14">
      <c r="A903" s="1" t="s">
        <v>3862</v>
      </c>
      <c r="B903" s="1" t="s">
        <v>3863</v>
      </c>
      <c r="C903" s="1" t="s">
        <v>3864</v>
      </c>
      <c r="D903" s="1" t="s">
        <v>4079</v>
      </c>
      <c r="E903" s="1" t="s">
        <v>10674</v>
      </c>
      <c r="F903" s="1" t="s">
        <v>8032</v>
      </c>
      <c r="G903" t="s">
        <v>10675</v>
      </c>
      <c r="H903">
        <v>736</v>
      </c>
      <c r="I903" s="1" t="s">
        <v>3866</v>
      </c>
      <c r="J903" s="44" t="s">
        <v>3867</v>
      </c>
      <c r="K903" s="44" t="s">
        <v>6193</v>
      </c>
      <c r="L903" s="1" t="s">
        <v>10676</v>
      </c>
      <c r="M903" s="1" t="s">
        <v>6705</v>
      </c>
      <c r="N903" s="1" t="s">
        <v>8098</v>
      </c>
    </row>
    <row r="904" spans="1:14">
      <c r="A904" s="1" t="s">
        <v>3858</v>
      </c>
      <c r="B904" s="1" t="s">
        <v>3859</v>
      </c>
      <c r="C904" s="1" t="s">
        <v>3860</v>
      </c>
      <c r="D904" s="1" t="s">
        <v>4083</v>
      </c>
      <c r="E904" s="1" t="s">
        <v>10677</v>
      </c>
      <c r="F904" s="1" t="s">
        <v>5606</v>
      </c>
      <c r="G904" t="s">
        <v>10678</v>
      </c>
      <c r="H904">
        <v>551</v>
      </c>
      <c r="I904" s="1" t="s">
        <v>4953</v>
      </c>
      <c r="J904" s="44" t="s">
        <v>4954</v>
      </c>
      <c r="K904" s="44" t="s">
        <v>5537</v>
      </c>
      <c r="L904" s="1" t="s">
        <v>10679</v>
      </c>
      <c r="M904" s="1" t="s">
        <v>10680</v>
      </c>
      <c r="N904" s="1" t="s">
        <v>8186</v>
      </c>
    </row>
    <row r="905" spans="1:14">
      <c r="A905" s="1" t="s">
        <v>3894</v>
      </c>
      <c r="B905" s="1" t="s">
        <v>3895</v>
      </c>
      <c r="C905" s="1" t="s">
        <v>3896</v>
      </c>
      <c r="D905" s="1" t="s">
        <v>4087</v>
      </c>
      <c r="E905" s="1" t="s">
        <v>8033</v>
      </c>
      <c r="F905" s="1" t="s">
        <v>754</v>
      </c>
      <c r="G905" t="s">
        <v>8034</v>
      </c>
      <c r="H905">
        <v>271</v>
      </c>
      <c r="I905" s="1" t="s">
        <v>3899</v>
      </c>
      <c r="J905" s="44" t="s">
        <v>3900</v>
      </c>
      <c r="K905" s="44" t="s">
        <v>5132</v>
      </c>
      <c r="L905" s="1" t="s">
        <v>10681</v>
      </c>
      <c r="M905" s="1" t="s">
        <v>7660</v>
      </c>
      <c r="N905" s="1" t="s">
        <v>8213</v>
      </c>
    </row>
    <row r="906" spans="1:14">
      <c r="A906" s="1" t="s">
        <v>3929</v>
      </c>
      <c r="B906" s="1" t="s">
        <v>3930</v>
      </c>
      <c r="C906" s="1" t="s">
        <v>3931</v>
      </c>
      <c r="D906" s="1" t="s">
        <v>4091</v>
      </c>
      <c r="E906" s="1" t="s">
        <v>5423</v>
      </c>
      <c r="F906" s="1" t="s">
        <v>5394</v>
      </c>
      <c r="H906">
        <v>106</v>
      </c>
      <c r="I906" s="1" t="s">
        <v>3933</v>
      </c>
      <c r="J906" s="44" t="s">
        <v>3934</v>
      </c>
      <c r="K906" s="44"/>
      <c r="L906" s="1"/>
      <c r="M906" s="1" t="s">
        <v>5754</v>
      </c>
      <c r="N906" s="1" t="s">
        <v>5422</v>
      </c>
    </row>
    <row r="907" spans="1:14">
      <c r="A907" s="1" t="s">
        <v>2357</v>
      </c>
      <c r="B907" s="1" t="s">
        <v>2358</v>
      </c>
      <c r="C907" s="1" t="s">
        <v>2359</v>
      </c>
      <c r="D907" s="1" t="s">
        <v>4096</v>
      </c>
      <c r="E907" s="1" t="s">
        <v>10682</v>
      </c>
      <c r="F907" s="1" t="s">
        <v>1917</v>
      </c>
      <c r="G907" t="s">
        <v>10683</v>
      </c>
      <c r="H907">
        <v>88</v>
      </c>
      <c r="I907" s="1" t="s">
        <v>2361</v>
      </c>
      <c r="J907" s="44" t="s">
        <v>2362</v>
      </c>
      <c r="K907" s="44" t="s">
        <v>5067</v>
      </c>
      <c r="L907" s="1" t="s">
        <v>6077</v>
      </c>
      <c r="M907" s="1" t="s">
        <v>7919</v>
      </c>
      <c r="N907" s="1" t="s">
        <v>8098</v>
      </c>
    </row>
    <row r="908" spans="1:14">
      <c r="A908" s="1" t="s">
        <v>3940</v>
      </c>
      <c r="B908" s="1" t="s">
        <v>3941</v>
      </c>
      <c r="C908" s="1" t="s">
        <v>3942</v>
      </c>
      <c r="D908" s="1" t="s">
        <v>4101</v>
      </c>
      <c r="E908" s="1" t="s">
        <v>6386</v>
      </c>
      <c r="F908" s="1" t="s">
        <v>10684</v>
      </c>
      <c r="G908" t="s">
        <v>6387</v>
      </c>
      <c r="I908" s="1"/>
      <c r="J908" s="44" t="s">
        <v>3944</v>
      </c>
      <c r="K908" s="44" t="s">
        <v>5018</v>
      </c>
      <c r="L908" s="1" t="s">
        <v>265</v>
      </c>
      <c r="M908" s="1" t="s">
        <v>265</v>
      </c>
      <c r="N908" s="1" t="s">
        <v>8133</v>
      </c>
    </row>
    <row r="909" spans="1:14">
      <c r="A909" s="1" t="s">
        <v>3935</v>
      </c>
      <c r="B909" s="1" t="s">
        <v>3936</v>
      </c>
      <c r="C909" s="1" t="s">
        <v>3937</v>
      </c>
      <c r="D909" s="1" t="s">
        <v>4105</v>
      </c>
      <c r="E909" s="1" t="s">
        <v>6769</v>
      </c>
      <c r="F909" s="1" t="s">
        <v>5304</v>
      </c>
      <c r="G909" t="s">
        <v>10685</v>
      </c>
      <c r="I909" s="1"/>
      <c r="J909" s="44"/>
      <c r="K909" s="44" t="s">
        <v>5018</v>
      </c>
      <c r="L909" s="1" t="s">
        <v>6037</v>
      </c>
      <c r="M909" s="1" t="s">
        <v>6960</v>
      </c>
      <c r="N909" s="1" t="s">
        <v>8171</v>
      </c>
    </row>
    <row r="910" spans="1:14">
      <c r="A910" s="1" t="s">
        <v>3945</v>
      </c>
      <c r="B910" s="1" t="s">
        <v>3946</v>
      </c>
      <c r="C910" s="1" t="s">
        <v>3947</v>
      </c>
      <c r="D910" s="1" t="s">
        <v>4109</v>
      </c>
      <c r="E910" s="1" t="s">
        <v>5719</v>
      </c>
      <c r="F910" s="1" t="s">
        <v>10686</v>
      </c>
      <c r="G910" t="s">
        <v>5984</v>
      </c>
      <c r="I910" s="1"/>
      <c r="J910" s="44" t="s">
        <v>10687</v>
      </c>
      <c r="K910" s="44" t="s">
        <v>5018</v>
      </c>
      <c r="L910" s="1" t="s">
        <v>265</v>
      </c>
      <c r="M910" s="1" t="s">
        <v>6074</v>
      </c>
      <c r="N910" s="1" t="s">
        <v>8098</v>
      </c>
    </row>
    <row r="911" spans="1:14">
      <c r="A911" s="1" t="s">
        <v>5367</v>
      </c>
      <c r="B911" s="1" t="s">
        <v>5368</v>
      </c>
      <c r="C911" s="1" t="s">
        <v>5369</v>
      </c>
      <c r="D911" s="1" t="s">
        <v>4113</v>
      </c>
      <c r="E911" s="1" t="s">
        <v>10688</v>
      </c>
      <c r="F911" s="1" t="s">
        <v>10689</v>
      </c>
      <c r="G911" t="s">
        <v>10690</v>
      </c>
      <c r="I911" s="1"/>
      <c r="J911" s="44"/>
      <c r="K911" s="44" t="s">
        <v>5755</v>
      </c>
      <c r="L911" s="1" t="s">
        <v>6407</v>
      </c>
      <c r="M911" s="1"/>
      <c r="N911" s="1" t="s">
        <v>8140</v>
      </c>
    </row>
    <row r="912" spans="1:14">
      <c r="A912" s="1" t="s">
        <v>5329</v>
      </c>
      <c r="B912" s="1" t="s">
        <v>5330</v>
      </c>
      <c r="C912" s="1" t="s">
        <v>5331</v>
      </c>
      <c r="D912" s="1" t="s">
        <v>4116</v>
      </c>
      <c r="E912" s="1" t="s">
        <v>10691</v>
      </c>
      <c r="F912" s="1" t="s">
        <v>10692</v>
      </c>
      <c r="G912" t="s">
        <v>10693</v>
      </c>
      <c r="I912" s="1"/>
      <c r="J912" s="44"/>
      <c r="K912" s="44" t="s">
        <v>5061</v>
      </c>
      <c r="L912" s="1" t="s">
        <v>5137</v>
      </c>
      <c r="M912" s="1" t="s">
        <v>5958</v>
      </c>
      <c r="N912" s="1" t="s">
        <v>8140</v>
      </c>
    </row>
    <row r="913" spans="1:14">
      <c r="A913" s="1" t="s">
        <v>1906</v>
      </c>
      <c r="B913" s="1" t="s">
        <v>1907</v>
      </c>
      <c r="C913" s="1" t="s">
        <v>1908</v>
      </c>
      <c r="D913" s="1" t="s">
        <v>4121</v>
      </c>
      <c r="E913" s="1" t="s">
        <v>10694</v>
      </c>
      <c r="F913" s="1" t="s">
        <v>7662</v>
      </c>
      <c r="G913" t="s">
        <v>10695</v>
      </c>
      <c r="I913" s="1"/>
      <c r="J913" s="44" t="s">
        <v>5519</v>
      </c>
      <c r="K913" s="44" t="s">
        <v>5888</v>
      </c>
      <c r="L913" s="1" t="s">
        <v>5112</v>
      </c>
      <c r="M913" s="1" t="s">
        <v>7537</v>
      </c>
      <c r="N913" s="1" t="s">
        <v>8186</v>
      </c>
    </row>
    <row r="914" spans="1:14">
      <c r="A914" s="1" t="s">
        <v>5308</v>
      </c>
      <c r="B914" s="1" t="s">
        <v>5309</v>
      </c>
      <c r="C914" s="1" t="s">
        <v>5309</v>
      </c>
      <c r="D914" s="1" t="s">
        <v>4125</v>
      </c>
      <c r="E914" s="1" t="s">
        <v>10696</v>
      </c>
      <c r="F914" s="1" t="s">
        <v>8035</v>
      </c>
      <c r="G914" t="s">
        <v>10697</v>
      </c>
      <c r="I914" s="1"/>
      <c r="J914" s="44"/>
      <c r="K914" s="44" t="s">
        <v>5910</v>
      </c>
      <c r="L914" s="1" t="s">
        <v>7130</v>
      </c>
      <c r="M914" s="1"/>
      <c r="N914" s="1" t="s">
        <v>8140</v>
      </c>
    </row>
    <row r="915" spans="1:14">
      <c r="A915" s="1" t="s">
        <v>4335</v>
      </c>
      <c r="B915" s="1" t="s">
        <v>4336</v>
      </c>
      <c r="C915" s="1" t="s">
        <v>4337</v>
      </c>
      <c r="D915" s="1" t="s">
        <v>4127</v>
      </c>
      <c r="E915" s="1" t="s">
        <v>10698</v>
      </c>
      <c r="F915" s="1" t="s">
        <v>7895</v>
      </c>
      <c r="G915" t="s">
        <v>10699</v>
      </c>
      <c r="I915" s="1"/>
      <c r="J915" s="44" t="s">
        <v>4339</v>
      </c>
      <c r="K915" s="44" t="s">
        <v>6964</v>
      </c>
      <c r="L915" s="1" t="s">
        <v>7135</v>
      </c>
      <c r="M915" s="1" t="s">
        <v>8151</v>
      </c>
      <c r="N915" s="1" t="s">
        <v>8396</v>
      </c>
    </row>
    <row r="916" spans="1:14">
      <c r="A916" s="1" t="s">
        <v>5310</v>
      </c>
      <c r="B916" s="1" t="s">
        <v>5311</v>
      </c>
      <c r="C916" s="1" t="s">
        <v>5312</v>
      </c>
      <c r="D916" s="1" t="s">
        <v>4131</v>
      </c>
      <c r="E916" s="1" t="s">
        <v>10700</v>
      </c>
      <c r="F916" s="1" t="s">
        <v>7470</v>
      </c>
      <c r="G916" t="s">
        <v>10701</v>
      </c>
      <c r="I916" s="1"/>
      <c r="J916" s="44" t="s">
        <v>259</v>
      </c>
      <c r="K916" s="44" t="s">
        <v>5049</v>
      </c>
      <c r="L916" s="1" t="s">
        <v>5402</v>
      </c>
      <c r="M916" s="1" t="s">
        <v>8036</v>
      </c>
      <c r="N916" s="1" t="s">
        <v>8140</v>
      </c>
    </row>
    <row r="917" spans="1:14">
      <c r="A917" s="1" t="s">
        <v>3990</v>
      </c>
      <c r="B917" s="1" t="s">
        <v>3991</v>
      </c>
      <c r="C917" s="1" t="s">
        <v>3992</v>
      </c>
      <c r="D917" s="1" t="s">
        <v>4135</v>
      </c>
      <c r="E917" s="1" t="s">
        <v>10702</v>
      </c>
      <c r="F917" s="1" t="s">
        <v>7250</v>
      </c>
      <c r="G917" t="s">
        <v>10703</v>
      </c>
      <c r="I917" s="1"/>
      <c r="J917" s="44" t="s">
        <v>3994</v>
      </c>
      <c r="K917" s="44" t="s">
        <v>5386</v>
      </c>
      <c r="L917" s="1" t="s">
        <v>7153</v>
      </c>
      <c r="M917" s="1" t="s">
        <v>7094</v>
      </c>
      <c r="N917" s="1" t="s">
        <v>8121</v>
      </c>
    </row>
    <row r="918" spans="1:14">
      <c r="A918" s="1" t="s">
        <v>4850</v>
      </c>
      <c r="B918" s="1" t="s">
        <v>4851</v>
      </c>
      <c r="C918" s="1" t="s">
        <v>1741</v>
      </c>
      <c r="D918" s="1" t="s">
        <v>4139</v>
      </c>
      <c r="E918" s="1" t="s">
        <v>10704</v>
      </c>
      <c r="F918" s="1" t="s">
        <v>10705</v>
      </c>
      <c r="G918" t="s">
        <v>10706</v>
      </c>
      <c r="I918" s="1"/>
      <c r="J918" s="44" t="s">
        <v>4853</v>
      </c>
      <c r="K918" s="44" t="s">
        <v>6940</v>
      </c>
      <c r="L918" s="1" t="s">
        <v>10707</v>
      </c>
      <c r="M918" s="1" t="s">
        <v>10708</v>
      </c>
      <c r="N918" s="1" t="s">
        <v>8102</v>
      </c>
    </row>
    <row r="919" spans="1:14">
      <c r="A919" s="1" t="s">
        <v>4016</v>
      </c>
      <c r="B919" s="1" t="s">
        <v>4017</v>
      </c>
      <c r="C919" s="1" t="s">
        <v>4018</v>
      </c>
      <c r="D919" s="1" t="s">
        <v>4143</v>
      </c>
      <c r="E919" s="1" t="s">
        <v>10709</v>
      </c>
      <c r="F919" s="1" t="s">
        <v>10710</v>
      </c>
      <c r="G919" t="s">
        <v>10711</v>
      </c>
      <c r="I919" s="1"/>
      <c r="J919" s="44" t="s">
        <v>234</v>
      </c>
      <c r="K919" s="44" t="s">
        <v>5562</v>
      </c>
      <c r="L919" s="1" t="s">
        <v>7016</v>
      </c>
      <c r="M919" s="1" t="s">
        <v>7469</v>
      </c>
      <c r="N919" s="1" t="s">
        <v>8173</v>
      </c>
    </row>
    <row r="920" spans="1:14">
      <c r="A920" s="1" t="s">
        <v>3986</v>
      </c>
      <c r="B920" s="1" t="s">
        <v>3987</v>
      </c>
      <c r="C920" s="1" t="s">
        <v>3988</v>
      </c>
      <c r="D920" s="1" t="s">
        <v>4147</v>
      </c>
      <c r="E920" s="1" t="s">
        <v>10712</v>
      </c>
      <c r="F920" s="1" t="s">
        <v>6770</v>
      </c>
      <c r="G920" t="s">
        <v>10713</v>
      </c>
      <c r="I920" s="1"/>
      <c r="J920" s="44"/>
      <c r="K920" s="44" t="s">
        <v>5003</v>
      </c>
      <c r="L920" s="1" t="s">
        <v>6440</v>
      </c>
      <c r="M920" s="1" t="s">
        <v>10714</v>
      </c>
      <c r="N920" s="1" t="s">
        <v>8098</v>
      </c>
    </row>
    <row r="921" spans="1:14">
      <c r="A921" s="1" t="s">
        <v>5720</v>
      </c>
      <c r="B921" s="1" t="s">
        <v>5721</v>
      </c>
      <c r="C921" s="1" t="s">
        <v>5722</v>
      </c>
      <c r="D921" s="1" t="s">
        <v>4152</v>
      </c>
      <c r="E921" s="1" t="s">
        <v>10715</v>
      </c>
      <c r="F921" s="1" t="s">
        <v>6505</v>
      </c>
      <c r="G921" t="s">
        <v>10716</v>
      </c>
      <c r="I921" s="1"/>
      <c r="J921" s="44" t="s">
        <v>1286</v>
      </c>
      <c r="K921" s="44" t="s">
        <v>5535</v>
      </c>
      <c r="L921" s="1" t="s">
        <v>6048</v>
      </c>
      <c r="M921" s="1"/>
      <c r="N921" s="1" t="s">
        <v>8080</v>
      </c>
    </row>
    <row r="922" spans="1:14">
      <c r="A922" s="1" t="s">
        <v>5313</v>
      </c>
      <c r="B922" s="1" t="s">
        <v>5314</v>
      </c>
      <c r="C922" s="1" t="s">
        <v>5315</v>
      </c>
      <c r="D922" s="1" t="s">
        <v>4156</v>
      </c>
      <c r="E922" s="1" t="s">
        <v>10717</v>
      </c>
      <c r="F922" s="1" t="s">
        <v>10718</v>
      </c>
      <c r="G922" t="s">
        <v>10719</v>
      </c>
      <c r="I922" s="1"/>
      <c r="J922" s="44" t="s">
        <v>138</v>
      </c>
      <c r="K922" s="44" t="s">
        <v>7873</v>
      </c>
      <c r="L922" s="1" t="s">
        <v>6349</v>
      </c>
      <c r="M922" s="1"/>
      <c r="N922" s="1" t="s">
        <v>8140</v>
      </c>
    </row>
    <row r="923" spans="1:14">
      <c r="A923" s="1" t="s">
        <v>5326</v>
      </c>
      <c r="B923" s="1" t="s">
        <v>5327</v>
      </c>
      <c r="C923" s="1" t="s">
        <v>5328</v>
      </c>
      <c r="D923" s="1" t="s">
        <v>4160</v>
      </c>
      <c r="E923" s="1" t="s">
        <v>10450</v>
      </c>
      <c r="F923" s="1" t="s">
        <v>2220</v>
      </c>
      <c r="G923" t="s">
        <v>10720</v>
      </c>
      <c r="I923" s="1"/>
      <c r="J923" s="44"/>
      <c r="K923" s="44" t="s">
        <v>5067</v>
      </c>
      <c r="L923" s="1" t="s">
        <v>10721</v>
      </c>
      <c r="M923" s="1" t="s">
        <v>7136</v>
      </c>
      <c r="N923" s="1" t="s">
        <v>8140</v>
      </c>
    </row>
    <row r="924" spans="1:14">
      <c r="A924" s="1" t="s">
        <v>4128</v>
      </c>
      <c r="B924" s="1" t="s">
        <v>4129</v>
      </c>
      <c r="C924" s="1" t="s">
        <v>4130</v>
      </c>
      <c r="D924" s="1" t="s">
        <v>4164</v>
      </c>
      <c r="E924" s="1" t="s">
        <v>10722</v>
      </c>
      <c r="F924" s="1" t="s">
        <v>6389</v>
      </c>
      <c r="G924" t="s">
        <v>10723</v>
      </c>
      <c r="I924" s="1"/>
      <c r="J924" s="44" t="s">
        <v>230</v>
      </c>
      <c r="K924" s="44" t="s">
        <v>6218</v>
      </c>
      <c r="L924" s="1" t="s">
        <v>10724</v>
      </c>
      <c r="M924" s="1" t="s">
        <v>10725</v>
      </c>
      <c r="N924" s="1" t="s">
        <v>8213</v>
      </c>
    </row>
    <row r="925" spans="1:14">
      <c r="A925" s="1" t="s">
        <v>5316</v>
      </c>
      <c r="B925" s="1" t="s">
        <v>5317</v>
      </c>
      <c r="C925" s="1" t="s">
        <v>5318</v>
      </c>
      <c r="D925" s="1" t="s">
        <v>4168</v>
      </c>
      <c r="E925" s="1" t="s">
        <v>10726</v>
      </c>
      <c r="F925" s="1" t="s">
        <v>7738</v>
      </c>
      <c r="G925" t="s">
        <v>10727</v>
      </c>
      <c r="I925" s="1"/>
      <c r="J925" s="44" t="s">
        <v>10728</v>
      </c>
      <c r="K925" s="44" t="s">
        <v>5407</v>
      </c>
      <c r="L925" s="1" t="s">
        <v>6028</v>
      </c>
      <c r="M925" s="1" t="s">
        <v>7762</v>
      </c>
      <c r="N925" s="1" t="s">
        <v>8140</v>
      </c>
    </row>
    <row r="926" spans="1:14">
      <c r="A926" s="1" t="s">
        <v>4220</v>
      </c>
      <c r="B926" s="1" t="s">
        <v>4221</v>
      </c>
      <c r="C926" s="1" t="s">
        <v>4222</v>
      </c>
      <c r="D926" s="1" t="s">
        <v>4172</v>
      </c>
      <c r="E926" s="1" t="s">
        <v>10729</v>
      </c>
      <c r="F926" s="1" t="s">
        <v>1321</v>
      </c>
      <c r="G926" t="s">
        <v>10730</v>
      </c>
      <c r="I926" s="1"/>
      <c r="J926" s="44" t="s">
        <v>4224</v>
      </c>
      <c r="K926" s="44" t="s">
        <v>8038</v>
      </c>
      <c r="L926" s="1" t="s">
        <v>5796</v>
      </c>
      <c r="M926" s="1" t="s">
        <v>7722</v>
      </c>
      <c r="N926" s="1" t="s">
        <v>8213</v>
      </c>
    </row>
    <row r="927" spans="1:14">
      <c r="A927" s="1" t="s">
        <v>5162</v>
      </c>
      <c r="B927" s="1" t="s">
        <v>5163</v>
      </c>
      <c r="C927" s="1" t="s">
        <v>5164</v>
      </c>
      <c r="D927" s="1" t="s">
        <v>4176</v>
      </c>
      <c r="E927" s="1" t="s">
        <v>10731</v>
      </c>
      <c r="F927" s="1" t="s">
        <v>7253</v>
      </c>
      <c r="G927" t="s">
        <v>10732</v>
      </c>
      <c r="I927" s="1"/>
      <c r="J927" s="44" t="s">
        <v>10733</v>
      </c>
      <c r="K927" s="44" t="s">
        <v>6091</v>
      </c>
      <c r="L927" s="1" t="s">
        <v>7179</v>
      </c>
      <c r="M927" s="1" t="s">
        <v>7627</v>
      </c>
      <c r="N927" s="1" t="s">
        <v>8140</v>
      </c>
    </row>
    <row r="928" spans="1:14">
      <c r="A928" s="1" t="s">
        <v>4259</v>
      </c>
      <c r="B928" s="1" t="s">
        <v>4260</v>
      </c>
      <c r="C928" s="1" t="s">
        <v>4261</v>
      </c>
      <c r="D928" s="1" t="s">
        <v>4180</v>
      </c>
      <c r="E928" s="1" t="s">
        <v>9988</v>
      </c>
      <c r="F928" s="1" t="s">
        <v>1312</v>
      </c>
      <c r="G928" t="s">
        <v>10734</v>
      </c>
      <c r="I928" s="1"/>
      <c r="J928" s="44"/>
      <c r="K928" s="44" t="s">
        <v>10735</v>
      </c>
      <c r="L928" s="1" t="s">
        <v>7065</v>
      </c>
      <c r="M928" s="1" t="s">
        <v>10736</v>
      </c>
      <c r="N928" s="1" t="s">
        <v>8213</v>
      </c>
    </row>
    <row r="929" spans="1:14">
      <c r="A929" s="1" t="s">
        <v>4013</v>
      </c>
      <c r="B929" s="1" t="s">
        <v>4014</v>
      </c>
      <c r="C929" s="1" t="s">
        <v>1559</v>
      </c>
      <c r="D929" s="1" t="s">
        <v>4184</v>
      </c>
      <c r="E929" s="1" t="s">
        <v>10737</v>
      </c>
      <c r="F929" s="1" t="s">
        <v>8039</v>
      </c>
      <c r="G929" t="s">
        <v>10738</v>
      </c>
      <c r="I929" s="1"/>
      <c r="J929" s="44" t="s">
        <v>2721</v>
      </c>
      <c r="K929" s="44" t="s">
        <v>6211</v>
      </c>
      <c r="L929" s="1" t="s">
        <v>7699</v>
      </c>
      <c r="M929" s="1" t="s">
        <v>8040</v>
      </c>
      <c r="N929" s="1" t="s">
        <v>8121</v>
      </c>
    </row>
    <row r="930" spans="1:14">
      <c r="A930" s="1" t="s">
        <v>4020</v>
      </c>
      <c r="B930" s="1" t="s">
        <v>4021</v>
      </c>
      <c r="C930" s="1" t="s">
        <v>4022</v>
      </c>
      <c r="D930" s="1" t="s">
        <v>4189</v>
      </c>
      <c r="E930" s="1" t="s">
        <v>10739</v>
      </c>
      <c r="F930" s="1" t="s">
        <v>7897</v>
      </c>
      <c r="G930" t="s">
        <v>10740</v>
      </c>
      <c r="I930" s="1"/>
      <c r="J930" s="44"/>
      <c r="K930" s="44" t="s">
        <v>5631</v>
      </c>
      <c r="L930" s="1" t="s">
        <v>7257</v>
      </c>
      <c r="M930" s="1" t="s">
        <v>5810</v>
      </c>
      <c r="N930" s="1" t="s">
        <v>8186</v>
      </c>
    </row>
    <row r="931" spans="1:14">
      <c r="A931" s="1" t="s">
        <v>4028</v>
      </c>
      <c r="B931" s="1" t="s">
        <v>4029</v>
      </c>
      <c r="C931" s="1" t="s">
        <v>4030</v>
      </c>
      <c r="D931" s="1" t="s">
        <v>4194</v>
      </c>
      <c r="E931" s="1" t="s">
        <v>10741</v>
      </c>
      <c r="F931" s="1" t="s">
        <v>8041</v>
      </c>
      <c r="G931" t="s">
        <v>10742</v>
      </c>
      <c r="I931" s="1"/>
      <c r="J931" s="44" t="s">
        <v>4031</v>
      </c>
      <c r="K931" s="44" t="s">
        <v>7236</v>
      </c>
      <c r="L931" s="1" t="s">
        <v>6160</v>
      </c>
      <c r="M931" s="1" t="s">
        <v>5789</v>
      </c>
      <c r="N931" s="1" t="s">
        <v>8137</v>
      </c>
    </row>
    <row r="932" spans="1:14">
      <c r="A932" s="1" t="s">
        <v>5582</v>
      </c>
      <c r="B932" s="1" t="s">
        <v>5987</v>
      </c>
      <c r="C932" s="1" t="s">
        <v>5583</v>
      </c>
      <c r="D932" s="1" t="s">
        <v>4198</v>
      </c>
      <c r="E932" s="1" t="s">
        <v>10743</v>
      </c>
      <c r="F932" s="1" t="s">
        <v>8042</v>
      </c>
      <c r="G932" t="s">
        <v>10744</v>
      </c>
      <c r="I932" s="1"/>
      <c r="J932" s="44" t="s">
        <v>1103</v>
      </c>
      <c r="K932" s="44" t="s">
        <v>7038</v>
      </c>
      <c r="L932" s="1" t="s">
        <v>6624</v>
      </c>
      <c r="M932" s="1"/>
      <c r="N932" s="1" t="s">
        <v>8140</v>
      </c>
    </row>
    <row r="933" spans="1:14">
      <c r="A933" s="1" t="s">
        <v>4287</v>
      </c>
      <c r="B933" s="1" t="s">
        <v>4288</v>
      </c>
      <c r="C933" s="1" t="s">
        <v>4289</v>
      </c>
      <c r="D933" s="1" t="s">
        <v>4202</v>
      </c>
      <c r="E933" s="1" t="s">
        <v>10745</v>
      </c>
      <c r="F933" s="1" t="s">
        <v>5805</v>
      </c>
      <c r="G933" t="s">
        <v>10746</v>
      </c>
      <c r="I933" s="1"/>
      <c r="J933" s="44" t="s">
        <v>4291</v>
      </c>
      <c r="K933" s="44" t="s">
        <v>5067</v>
      </c>
      <c r="L933" s="1" t="s">
        <v>6952</v>
      </c>
      <c r="M933" s="1" t="s">
        <v>7228</v>
      </c>
      <c r="N933" s="1" t="s">
        <v>8162</v>
      </c>
    </row>
    <row r="934" spans="1:14">
      <c r="A934" s="1" t="s">
        <v>4061</v>
      </c>
      <c r="B934" s="1" t="s">
        <v>4061</v>
      </c>
      <c r="C934" s="1" t="s">
        <v>4062</v>
      </c>
      <c r="D934" s="1" t="s">
        <v>4206</v>
      </c>
      <c r="E934" s="1" t="s">
        <v>10747</v>
      </c>
      <c r="F934" s="1" t="s">
        <v>5993</v>
      </c>
      <c r="G934" t="s">
        <v>10748</v>
      </c>
      <c r="I934" s="1"/>
      <c r="J934" s="44" t="s">
        <v>1103</v>
      </c>
      <c r="K934" s="44" t="s">
        <v>6558</v>
      </c>
      <c r="L934" s="1" t="s">
        <v>6055</v>
      </c>
      <c r="M934" s="1" t="s">
        <v>10749</v>
      </c>
      <c r="N934" s="1" t="s">
        <v>8171</v>
      </c>
    </row>
    <row r="935" spans="1:14">
      <c r="A935" s="1" t="s">
        <v>5323</v>
      </c>
      <c r="B935" s="1" t="s">
        <v>5324</v>
      </c>
      <c r="C935" s="1" t="s">
        <v>5325</v>
      </c>
      <c r="D935" s="1" t="s">
        <v>4210</v>
      </c>
      <c r="E935" s="1" t="s">
        <v>10750</v>
      </c>
      <c r="F935" s="1" t="s">
        <v>1158</v>
      </c>
      <c r="G935" t="s">
        <v>10751</v>
      </c>
      <c r="I935" s="1"/>
      <c r="J935" s="44"/>
      <c r="K935" s="44" t="s">
        <v>10752</v>
      </c>
      <c r="L935" s="1" t="s">
        <v>10753</v>
      </c>
      <c r="M935" s="1" t="s">
        <v>10754</v>
      </c>
      <c r="N935" s="1" t="s">
        <v>8140</v>
      </c>
    </row>
    <row r="936" spans="1:14">
      <c r="A936" s="1" t="s">
        <v>5285</v>
      </c>
      <c r="B936" s="1" t="s">
        <v>5286</v>
      </c>
      <c r="C936" s="1" t="s">
        <v>5287</v>
      </c>
      <c r="D936" s="1" t="s">
        <v>4215</v>
      </c>
      <c r="E936" s="1" t="s">
        <v>10755</v>
      </c>
      <c r="F936" s="1" t="s">
        <v>8043</v>
      </c>
      <c r="G936" t="s">
        <v>10756</v>
      </c>
      <c r="I936" s="1"/>
      <c r="J936" s="44" t="s">
        <v>10757</v>
      </c>
      <c r="K936" s="44" t="s">
        <v>7321</v>
      </c>
      <c r="L936" s="1" t="s">
        <v>7779</v>
      </c>
      <c r="M936" s="1" t="s">
        <v>10758</v>
      </c>
      <c r="N936" s="1" t="s">
        <v>8140</v>
      </c>
    </row>
    <row r="937" spans="1:14">
      <c r="A937" s="1" t="s">
        <v>6391</v>
      </c>
      <c r="B937" s="1" t="s">
        <v>6392</v>
      </c>
      <c r="C937" s="1" t="s">
        <v>6393</v>
      </c>
      <c r="D937" s="1" t="s">
        <v>4219</v>
      </c>
      <c r="E937" s="1" t="s">
        <v>10759</v>
      </c>
      <c r="F937" s="1" t="s">
        <v>10760</v>
      </c>
      <c r="G937" t="s">
        <v>10761</v>
      </c>
      <c r="I937" s="1"/>
      <c r="J937" s="44"/>
      <c r="K937" s="44" t="s">
        <v>6865</v>
      </c>
      <c r="L937" s="1"/>
      <c r="M937" s="1"/>
      <c r="N937" s="1" t="s">
        <v>8140</v>
      </c>
    </row>
    <row r="938" spans="1:14">
      <c r="A938" s="1" t="s">
        <v>5411</v>
      </c>
      <c r="B938" s="1" t="s">
        <v>5412</v>
      </c>
      <c r="C938" s="1" t="s">
        <v>5413</v>
      </c>
      <c r="D938" s="1" t="s">
        <v>4223</v>
      </c>
      <c r="E938" s="1" t="s">
        <v>10762</v>
      </c>
      <c r="F938" s="1" t="s">
        <v>6394</v>
      </c>
      <c r="G938" t="s">
        <v>10763</v>
      </c>
      <c r="I938" s="1"/>
      <c r="J938" s="44" t="s">
        <v>5581</v>
      </c>
      <c r="K938" s="44" t="s">
        <v>5067</v>
      </c>
      <c r="L938" s="1" t="s">
        <v>6138</v>
      </c>
      <c r="M938" s="1"/>
      <c r="N938" s="1" t="s">
        <v>8437</v>
      </c>
    </row>
    <row r="939" spans="1:14">
      <c r="A939" s="1" t="s">
        <v>4955</v>
      </c>
      <c r="B939" s="1" t="s">
        <v>4956</v>
      </c>
      <c r="C939" s="1" t="s">
        <v>4957</v>
      </c>
      <c r="D939" s="1" t="s">
        <v>4228</v>
      </c>
      <c r="E939" s="1" t="s">
        <v>10764</v>
      </c>
      <c r="F939" s="1" t="s">
        <v>3168</v>
      </c>
      <c r="G939" t="s">
        <v>10765</v>
      </c>
      <c r="I939" s="1"/>
      <c r="J939" s="44" t="s">
        <v>10766</v>
      </c>
      <c r="K939" s="44" t="s">
        <v>7081</v>
      </c>
      <c r="L939" s="1" t="s">
        <v>7258</v>
      </c>
      <c r="M939" s="1" t="s">
        <v>7892</v>
      </c>
      <c r="N939" s="1" t="s">
        <v>8140</v>
      </c>
    </row>
    <row r="940" spans="1:14">
      <c r="A940" s="1" t="s">
        <v>5038</v>
      </c>
      <c r="B940" s="1" t="s">
        <v>5039</v>
      </c>
      <c r="C940" s="1" t="s">
        <v>5040</v>
      </c>
      <c r="D940" s="1" t="s">
        <v>4232</v>
      </c>
      <c r="E940" s="1" t="s">
        <v>10767</v>
      </c>
      <c r="F940" s="1" t="s">
        <v>7025</v>
      </c>
      <c r="G940" t="s">
        <v>10768</v>
      </c>
      <c r="I940" s="1"/>
      <c r="J940" s="44" t="s">
        <v>5041</v>
      </c>
      <c r="K940" s="44" t="s">
        <v>5050</v>
      </c>
      <c r="L940" s="1" t="s">
        <v>7480</v>
      </c>
      <c r="M940" s="1" t="s">
        <v>7478</v>
      </c>
      <c r="N940" s="1" t="s">
        <v>8213</v>
      </c>
    </row>
    <row r="941" spans="1:14">
      <c r="A941" s="1" t="s">
        <v>4114</v>
      </c>
      <c r="B941" s="1" t="s">
        <v>4115</v>
      </c>
      <c r="C941" s="1" t="s">
        <v>4115</v>
      </c>
      <c r="D941" s="1" t="s">
        <v>4236</v>
      </c>
      <c r="E941" s="1" t="s">
        <v>10769</v>
      </c>
      <c r="F941" s="1" t="s">
        <v>7474</v>
      </c>
      <c r="G941" t="s">
        <v>10770</v>
      </c>
      <c r="I941" s="1"/>
      <c r="J941" s="44" t="s">
        <v>4117</v>
      </c>
      <c r="K941" s="44" t="s">
        <v>7139</v>
      </c>
      <c r="L941" s="1" t="s">
        <v>10771</v>
      </c>
      <c r="M941" s="1" t="s">
        <v>5780</v>
      </c>
      <c r="N941" s="1" t="s">
        <v>8213</v>
      </c>
    </row>
    <row r="942" spans="1:14">
      <c r="A942" s="1" t="s">
        <v>5578</v>
      </c>
      <c r="B942" s="1" t="s">
        <v>5579</v>
      </c>
      <c r="C942" s="1" t="s">
        <v>5580</v>
      </c>
      <c r="D942" s="1" t="s">
        <v>4240</v>
      </c>
      <c r="E942" s="1" t="s">
        <v>10772</v>
      </c>
      <c r="F942" s="1" t="s">
        <v>6771</v>
      </c>
      <c r="G942" t="s">
        <v>10773</v>
      </c>
      <c r="I942" s="1"/>
      <c r="J942" s="44" t="s">
        <v>1719</v>
      </c>
      <c r="K942" s="44" t="s">
        <v>5821</v>
      </c>
      <c r="L942" s="1" t="s">
        <v>10774</v>
      </c>
      <c r="M942" s="1"/>
      <c r="N942" s="1" t="s">
        <v>8140</v>
      </c>
    </row>
    <row r="943" spans="1:14">
      <c r="A943" s="1" t="s">
        <v>4024</v>
      </c>
      <c r="B943" s="1" t="s">
        <v>4025</v>
      </c>
      <c r="C943" s="1" t="s">
        <v>4026</v>
      </c>
      <c r="D943" s="1" t="s">
        <v>4245</v>
      </c>
      <c r="E943" s="1" t="s">
        <v>10775</v>
      </c>
      <c r="F943" s="1" t="s">
        <v>7259</v>
      </c>
      <c r="G943" t="s">
        <v>10776</v>
      </c>
      <c r="I943" s="1"/>
      <c r="J943" s="44"/>
      <c r="K943" s="44" t="s">
        <v>5070</v>
      </c>
      <c r="L943" s="1" t="s">
        <v>6322</v>
      </c>
      <c r="M943" s="1" t="s">
        <v>7434</v>
      </c>
      <c r="N943" s="1" t="s">
        <v>8171</v>
      </c>
    </row>
    <row r="944" spans="1:14">
      <c r="A944" s="1" t="s">
        <v>6398</v>
      </c>
      <c r="B944" s="1" t="s">
        <v>6399</v>
      </c>
      <c r="C944" s="1" t="s">
        <v>6400</v>
      </c>
      <c r="D944" s="1" t="s">
        <v>4249</v>
      </c>
      <c r="E944" s="1" t="s">
        <v>10777</v>
      </c>
      <c r="F944" s="1" t="s">
        <v>7918</v>
      </c>
      <c r="G944" t="s">
        <v>10778</v>
      </c>
      <c r="I944" s="1"/>
      <c r="J944" s="44"/>
      <c r="K944" s="44" t="s">
        <v>10779</v>
      </c>
      <c r="L944" s="1"/>
      <c r="M944" s="1"/>
      <c r="N944" s="1" t="s">
        <v>8140</v>
      </c>
    </row>
    <row r="945" spans="1:14">
      <c r="A945" s="1" t="s">
        <v>4873</v>
      </c>
      <c r="B945" s="1" t="s">
        <v>4874</v>
      </c>
      <c r="C945" s="1" t="s">
        <v>4875</v>
      </c>
      <c r="D945" s="1" t="s">
        <v>4254</v>
      </c>
      <c r="E945" s="1" t="s">
        <v>10780</v>
      </c>
      <c r="F945" s="1" t="s">
        <v>10781</v>
      </c>
      <c r="G945" t="s">
        <v>10782</v>
      </c>
      <c r="I945" s="1"/>
      <c r="J945" s="44"/>
      <c r="K945" s="44" t="s">
        <v>5373</v>
      </c>
      <c r="L945" s="1" t="s">
        <v>7315</v>
      </c>
      <c r="M945" s="1" t="s">
        <v>7455</v>
      </c>
      <c r="N945" s="1" t="s">
        <v>8213</v>
      </c>
    </row>
    <row r="946" spans="1:14">
      <c r="A946" s="1" t="s">
        <v>6050</v>
      </c>
      <c r="B946" s="1" t="s">
        <v>6051</v>
      </c>
      <c r="C946" s="1" t="s">
        <v>6052</v>
      </c>
      <c r="D946" s="1" t="s">
        <v>4258</v>
      </c>
      <c r="E946" s="1" t="s">
        <v>10783</v>
      </c>
      <c r="F946" s="1" t="s">
        <v>6396</v>
      </c>
      <c r="G946" t="s">
        <v>10784</v>
      </c>
      <c r="I946" s="1"/>
      <c r="J946" s="44" t="s">
        <v>6053</v>
      </c>
      <c r="K946" s="44" t="s">
        <v>5067</v>
      </c>
      <c r="L946" s="1"/>
      <c r="M946" s="1"/>
      <c r="N946" s="1" t="s">
        <v>8171</v>
      </c>
    </row>
    <row r="947" spans="1:14">
      <c r="A947" s="1" t="s">
        <v>3978</v>
      </c>
      <c r="B947" s="1" t="s">
        <v>3979</v>
      </c>
      <c r="C947" s="1" t="s">
        <v>3980</v>
      </c>
      <c r="D947" s="1" t="s">
        <v>4262</v>
      </c>
      <c r="E947" s="1" t="s">
        <v>10785</v>
      </c>
      <c r="F947" s="1" t="s">
        <v>10786</v>
      </c>
      <c r="G947" t="s">
        <v>10787</v>
      </c>
      <c r="I947" s="1"/>
      <c r="J947" s="44"/>
      <c r="K947" s="44" t="s">
        <v>7679</v>
      </c>
      <c r="L947" s="1" t="s">
        <v>6357</v>
      </c>
      <c r="M947" s="1" t="s">
        <v>7653</v>
      </c>
      <c r="N947" s="1" t="s">
        <v>8213</v>
      </c>
    </row>
    <row r="948" spans="1:14">
      <c r="A948" s="1" t="s">
        <v>4308</v>
      </c>
      <c r="B948" s="1" t="s">
        <v>4309</v>
      </c>
      <c r="C948" s="1" t="s">
        <v>4310</v>
      </c>
      <c r="D948" s="1" t="s">
        <v>4266</v>
      </c>
      <c r="E948" s="1" t="s">
        <v>10788</v>
      </c>
      <c r="F948" s="1" t="s">
        <v>6680</v>
      </c>
      <c r="G948" t="s">
        <v>10789</v>
      </c>
      <c r="I948" s="1"/>
      <c r="J948" s="44" t="s">
        <v>5723</v>
      </c>
      <c r="K948" s="44" t="s">
        <v>5001</v>
      </c>
      <c r="L948" s="1" t="s">
        <v>10790</v>
      </c>
      <c r="M948" s="1" t="s">
        <v>10791</v>
      </c>
      <c r="N948" s="1" t="s">
        <v>8396</v>
      </c>
    </row>
    <row r="949" spans="1:14">
      <c r="A949" s="1" t="s">
        <v>5165</v>
      </c>
      <c r="B949" s="1" t="s">
        <v>5166</v>
      </c>
      <c r="C949" s="1" t="s">
        <v>5167</v>
      </c>
      <c r="D949" s="1" t="s">
        <v>4270</v>
      </c>
      <c r="E949" s="1" t="s">
        <v>10792</v>
      </c>
      <c r="F949" s="1" t="s">
        <v>6266</v>
      </c>
      <c r="G949" t="s">
        <v>10793</v>
      </c>
      <c r="I949" s="1"/>
      <c r="J949" s="44" t="s">
        <v>54</v>
      </c>
      <c r="K949" s="44" t="s">
        <v>3488</v>
      </c>
      <c r="L949" s="1" t="s">
        <v>10794</v>
      </c>
      <c r="M949" s="1" t="s">
        <v>10795</v>
      </c>
      <c r="N949" s="1" t="s">
        <v>8140</v>
      </c>
    </row>
    <row r="950" spans="1:14">
      <c r="A950" s="1" t="s">
        <v>5185</v>
      </c>
      <c r="B950" s="1" t="s">
        <v>5186</v>
      </c>
      <c r="C950" s="1" t="s">
        <v>5187</v>
      </c>
      <c r="D950" s="1" t="s">
        <v>4273</v>
      </c>
      <c r="E950" s="1" t="s">
        <v>10796</v>
      </c>
      <c r="F950" s="1" t="s">
        <v>10797</v>
      </c>
      <c r="G950" t="s">
        <v>10798</v>
      </c>
      <c r="I950" s="1"/>
      <c r="J950" s="44" t="s">
        <v>5188</v>
      </c>
      <c r="K950" s="44" t="s">
        <v>5687</v>
      </c>
      <c r="L950" s="1" t="s">
        <v>7285</v>
      </c>
      <c r="M950" s="1" t="s">
        <v>7866</v>
      </c>
      <c r="N950" s="1" t="s">
        <v>8140</v>
      </c>
    </row>
    <row r="951" spans="1:14">
      <c r="A951" s="1" t="s">
        <v>4384</v>
      </c>
      <c r="B951" s="1" t="s">
        <v>4385</v>
      </c>
      <c r="C951" s="1" t="s">
        <v>4385</v>
      </c>
      <c r="D951" s="1" t="s">
        <v>4277</v>
      </c>
      <c r="E951" s="1" t="s">
        <v>10215</v>
      </c>
      <c r="F951" s="1" t="s">
        <v>6331</v>
      </c>
      <c r="G951" t="s">
        <v>10799</v>
      </c>
      <c r="I951" s="1"/>
      <c r="J951" s="44" t="s">
        <v>4387</v>
      </c>
      <c r="K951" s="44" t="s">
        <v>6776</v>
      </c>
      <c r="L951" s="1" t="s">
        <v>10800</v>
      </c>
      <c r="M951" s="1" t="s">
        <v>10801</v>
      </c>
      <c r="N951" s="1" t="s">
        <v>8186</v>
      </c>
    </row>
    <row r="952" spans="1:14">
      <c r="A952" s="1" t="s">
        <v>4049</v>
      </c>
      <c r="B952" s="1" t="s">
        <v>4050</v>
      </c>
      <c r="C952" s="1" t="s">
        <v>4051</v>
      </c>
      <c r="D952" s="1" t="s">
        <v>4281</v>
      </c>
      <c r="E952" s="1" t="s">
        <v>10802</v>
      </c>
      <c r="F952" s="1" t="s">
        <v>7898</v>
      </c>
      <c r="G952" t="s">
        <v>10803</v>
      </c>
      <c r="I952" s="1"/>
      <c r="J952" s="44"/>
      <c r="K952" s="44" t="s">
        <v>6582</v>
      </c>
      <c r="L952" s="1" t="s">
        <v>6079</v>
      </c>
      <c r="M952" s="1" t="s">
        <v>6648</v>
      </c>
      <c r="N952" s="1" t="s">
        <v>8133</v>
      </c>
    </row>
    <row r="953" spans="1:14">
      <c r="A953" s="1" t="s">
        <v>6403</v>
      </c>
      <c r="B953" s="1" t="s">
        <v>6404</v>
      </c>
      <c r="C953" s="1" t="s">
        <v>1126</v>
      </c>
      <c r="D953" s="1" t="s">
        <v>4285</v>
      </c>
      <c r="E953" s="1" t="s">
        <v>10804</v>
      </c>
      <c r="F953" s="1" t="s">
        <v>5795</v>
      </c>
      <c r="G953" t="s">
        <v>10805</v>
      </c>
      <c r="I953" s="1"/>
      <c r="J953" s="44"/>
      <c r="K953" s="44" t="s">
        <v>7492</v>
      </c>
      <c r="L953" s="1"/>
      <c r="M953" s="1"/>
      <c r="N953" s="1" t="s">
        <v>8140</v>
      </c>
    </row>
    <row r="954" spans="1:14">
      <c r="A954" s="1" t="s">
        <v>4380</v>
      </c>
      <c r="B954" s="1" t="s">
        <v>4381</v>
      </c>
      <c r="C954" s="1" t="s">
        <v>4382</v>
      </c>
      <c r="D954" s="1" t="s">
        <v>4290</v>
      </c>
      <c r="E954" s="1" t="s">
        <v>10806</v>
      </c>
      <c r="F954" s="1" t="s">
        <v>6772</v>
      </c>
      <c r="G954" t="s">
        <v>10807</v>
      </c>
      <c r="I954" s="1"/>
      <c r="J954" s="44" t="s">
        <v>921</v>
      </c>
      <c r="K954" s="44" t="s">
        <v>5050</v>
      </c>
      <c r="L954" s="1" t="s">
        <v>10808</v>
      </c>
      <c r="M954" s="1" t="s">
        <v>6356</v>
      </c>
      <c r="N954" s="1" t="s">
        <v>8186</v>
      </c>
    </row>
    <row r="955" spans="1:14">
      <c r="A955" s="1" t="s">
        <v>4251</v>
      </c>
      <c r="B955" s="1" t="s">
        <v>4252</v>
      </c>
      <c r="C955" s="1" t="s">
        <v>4253</v>
      </c>
      <c r="D955" s="1" t="s">
        <v>4294</v>
      </c>
      <c r="E955" s="1" t="s">
        <v>10809</v>
      </c>
      <c r="F955" s="1" t="s">
        <v>10810</v>
      </c>
      <c r="G955" t="s">
        <v>10811</v>
      </c>
      <c r="I955" s="1"/>
      <c r="J955" s="44" t="s">
        <v>6575</v>
      </c>
      <c r="K955" s="44" t="s">
        <v>5760</v>
      </c>
      <c r="L955" s="1" t="s">
        <v>8045</v>
      </c>
      <c r="M955" s="1" t="s">
        <v>6104</v>
      </c>
      <c r="N955" s="1" t="s">
        <v>8213</v>
      </c>
    </row>
    <row r="956" spans="1:14">
      <c r="A956" s="1" t="s">
        <v>4212</v>
      </c>
      <c r="B956" s="1" t="s">
        <v>4213</v>
      </c>
      <c r="C956" s="1" t="s">
        <v>4214</v>
      </c>
      <c r="D956" s="1" t="s">
        <v>4298</v>
      </c>
      <c r="E956" s="1" t="s">
        <v>10812</v>
      </c>
      <c r="F956" s="1" t="s">
        <v>10813</v>
      </c>
      <c r="G956" t="s">
        <v>10814</v>
      </c>
      <c r="I956" s="1"/>
      <c r="J956" s="44" t="s">
        <v>230</v>
      </c>
      <c r="K956" s="44" t="s">
        <v>5904</v>
      </c>
      <c r="L956" s="1" t="s">
        <v>5778</v>
      </c>
      <c r="M956" s="1" t="s">
        <v>10815</v>
      </c>
      <c r="N956" s="1" t="s">
        <v>8121</v>
      </c>
    </row>
    <row r="957" spans="1:14">
      <c r="A957" s="1" t="s">
        <v>4122</v>
      </c>
      <c r="B957" s="1" t="s">
        <v>4123</v>
      </c>
      <c r="C957" s="1" t="s">
        <v>4124</v>
      </c>
      <c r="D957" s="1" t="s">
        <v>4302</v>
      </c>
      <c r="E957" s="1" t="s">
        <v>9828</v>
      </c>
      <c r="F957" s="1" t="s">
        <v>5989</v>
      </c>
      <c r="G957" t="s">
        <v>10816</v>
      </c>
      <c r="I957" s="1"/>
      <c r="J957" s="44" t="s">
        <v>4126</v>
      </c>
      <c r="K957" s="44" t="s">
        <v>5067</v>
      </c>
      <c r="L957" s="1" t="s">
        <v>7571</v>
      </c>
      <c r="M957" s="1" t="s">
        <v>10817</v>
      </c>
      <c r="N957" s="1" t="s">
        <v>8171</v>
      </c>
    </row>
    <row r="958" spans="1:14">
      <c r="A958" s="1" t="s">
        <v>4576</v>
      </c>
      <c r="B958" s="1" t="s">
        <v>4577</v>
      </c>
      <c r="C958" s="1" t="s">
        <v>4578</v>
      </c>
      <c r="D958" s="1" t="s">
        <v>4307</v>
      </c>
      <c r="E958" s="1" t="s">
        <v>10818</v>
      </c>
      <c r="F958" s="1" t="s">
        <v>5557</v>
      </c>
      <c r="G958" t="s">
        <v>10819</v>
      </c>
      <c r="I958" s="1"/>
      <c r="J958" s="44" t="s">
        <v>4580</v>
      </c>
      <c r="K958" s="44" t="s">
        <v>7090</v>
      </c>
      <c r="L958" s="1" t="s">
        <v>7427</v>
      </c>
      <c r="M958" s="1" t="s">
        <v>10820</v>
      </c>
      <c r="N958" s="1" t="s">
        <v>8162</v>
      </c>
    </row>
    <row r="959" spans="1:14">
      <c r="A959" s="1" t="s">
        <v>3999</v>
      </c>
      <c r="B959" s="1" t="s">
        <v>4000</v>
      </c>
      <c r="C959" s="1" t="s">
        <v>4001</v>
      </c>
      <c r="D959" s="1" t="s">
        <v>4311</v>
      </c>
      <c r="E959" s="1" t="s">
        <v>10821</v>
      </c>
      <c r="F959" s="1" t="s">
        <v>7261</v>
      </c>
      <c r="G959" t="s">
        <v>10822</v>
      </c>
      <c r="I959" s="1"/>
      <c r="J959" s="44" t="s">
        <v>10823</v>
      </c>
      <c r="K959" s="44" t="s">
        <v>5001</v>
      </c>
      <c r="L959" s="1" t="s">
        <v>5791</v>
      </c>
      <c r="M959" s="1" t="s">
        <v>7170</v>
      </c>
      <c r="N959" s="1" t="s">
        <v>8213</v>
      </c>
    </row>
    <row r="960" spans="1:14">
      <c r="A960" s="1" t="s">
        <v>3965</v>
      </c>
      <c r="B960" s="1" t="s">
        <v>3966</v>
      </c>
      <c r="C960" s="1" t="s">
        <v>3967</v>
      </c>
      <c r="D960" s="1" t="s">
        <v>4315</v>
      </c>
      <c r="E960" s="1" t="s">
        <v>10824</v>
      </c>
      <c r="F960" s="1" t="s">
        <v>8048</v>
      </c>
      <c r="G960" t="s">
        <v>10825</v>
      </c>
      <c r="I960" s="1"/>
      <c r="J960" s="44" t="s">
        <v>3969</v>
      </c>
      <c r="K960" s="44" t="s">
        <v>3488</v>
      </c>
      <c r="L960" s="1" t="s">
        <v>5772</v>
      </c>
      <c r="M960" s="1" t="s">
        <v>6420</v>
      </c>
      <c r="N960" s="1" t="s">
        <v>8112</v>
      </c>
    </row>
    <row r="961" spans="1:14">
      <c r="A961" s="1" t="s">
        <v>4003</v>
      </c>
      <c r="B961" s="1" t="s">
        <v>4004</v>
      </c>
      <c r="C961" s="1" t="s">
        <v>4005</v>
      </c>
      <c r="D961" s="1" t="s">
        <v>4319</v>
      </c>
      <c r="E961" s="1" t="s">
        <v>10826</v>
      </c>
      <c r="F961" s="1" t="s">
        <v>5974</v>
      </c>
      <c r="G961" t="s">
        <v>10827</v>
      </c>
      <c r="I961" s="1"/>
      <c r="J961" s="44" t="s">
        <v>4007</v>
      </c>
      <c r="K961" s="44" t="s">
        <v>5065</v>
      </c>
      <c r="L961" s="1" t="s">
        <v>6965</v>
      </c>
      <c r="M961" s="1" t="s">
        <v>7425</v>
      </c>
      <c r="N961" s="1" t="s">
        <v>8140</v>
      </c>
    </row>
    <row r="962" spans="1:14">
      <c r="A962" s="1" t="s">
        <v>4036</v>
      </c>
      <c r="B962" s="1" t="s">
        <v>4037</v>
      </c>
      <c r="C962" s="1" t="s">
        <v>4038</v>
      </c>
      <c r="D962" s="1" t="s">
        <v>4323</v>
      </c>
      <c r="E962" s="1" t="s">
        <v>10828</v>
      </c>
      <c r="F962" s="1" t="s">
        <v>7899</v>
      </c>
      <c r="G962" t="s">
        <v>10829</v>
      </c>
      <c r="I962" s="1"/>
      <c r="J962" s="44" t="s">
        <v>10830</v>
      </c>
      <c r="K962" s="44" t="s">
        <v>5681</v>
      </c>
      <c r="L962" s="1" t="s">
        <v>10831</v>
      </c>
      <c r="M962" s="1" t="s">
        <v>10832</v>
      </c>
      <c r="N962" s="1" t="s">
        <v>8098</v>
      </c>
    </row>
    <row r="963" spans="1:14">
      <c r="A963" s="1" t="s">
        <v>4106</v>
      </c>
      <c r="B963" s="1" t="s">
        <v>4107</v>
      </c>
      <c r="C963" s="1" t="s">
        <v>4108</v>
      </c>
      <c r="D963" s="1" t="s">
        <v>4327</v>
      </c>
      <c r="E963" s="1" t="s">
        <v>9649</v>
      </c>
      <c r="F963" s="1" t="s">
        <v>5718</v>
      </c>
      <c r="G963" t="s">
        <v>10833</v>
      </c>
      <c r="I963" s="1"/>
      <c r="J963" s="44"/>
      <c r="K963" s="44" t="s">
        <v>5001</v>
      </c>
      <c r="L963" s="1" t="s">
        <v>7238</v>
      </c>
      <c r="M963" s="1" t="s">
        <v>7938</v>
      </c>
      <c r="N963" s="1" t="s">
        <v>8065</v>
      </c>
    </row>
    <row r="964" spans="1:14">
      <c r="A964" s="1" t="s">
        <v>5332</v>
      </c>
      <c r="B964" s="1" t="s">
        <v>5333</v>
      </c>
      <c r="C964" s="1" t="s">
        <v>5334</v>
      </c>
      <c r="D964" s="1" t="s">
        <v>4330</v>
      </c>
      <c r="E964" s="1" t="s">
        <v>10834</v>
      </c>
      <c r="F964" s="1" t="s">
        <v>7920</v>
      </c>
      <c r="G964" t="s">
        <v>10835</v>
      </c>
      <c r="I964" s="1"/>
      <c r="J964" s="44"/>
      <c r="K964" s="44" t="s">
        <v>5535</v>
      </c>
      <c r="L964" s="1" t="s">
        <v>7272</v>
      </c>
      <c r="M964" s="1" t="s">
        <v>8049</v>
      </c>
      <c r="N964" s="1" t="s">
        <v>8140</v>
      </c>
    </row>
    <row r="965" spans="1:14">
      <c r="A965" s="1" t="s">
        <v>4392</v>
      </c>
      <c r="B965" s="1" t="s">
        <v>4393</v>
      </c>
      <c r="C965" s="1" t="s">
        <v>4394</v>
      </c>
      <c r="D965" s="1" t="s">
        <v>4334</v>
      </c>
      <c r="E965" s="1" t="s">
        <v>10836</v>
      </c>
      <c r="F965" s="1" t="s">
        <v>4632</v>
      </c>
      <c r="G965" t="s">
        <v>10837</v>
      </c>
      <c r="I965" s="1"/>
      <c r="J965" s="44" t="s">
        <v>10838</v>
      </c>
      <c r="K965" s="44" t="s">
        <v>5001</v>
      </c>
      <c r="L965" s="1" t="s">
        <v>10839</v>
      </c>
      <c r="M965" s="1" t="s">
        <v>10840</v>
      </c>
      <c r="N965" s="1" t="s">
        <v>8080</v>
      </c>
    </row>
    <row r="966" spans="1:14">
      <c r="A966" s="1" t="s">
        <v>5336</v>
      </c>
      <c r="B966" s="1" t="s">
        <v>5337</v>
      </c>
      <c r="C966" s="1" t="s">
        <v>5338</v>
      </c>
      <c r="D966" s="1" t="s">
        <v>4338</v>
      </c>
      <c r="E966" s="1" t="s">
        <v>10841</v>
      </c>
      <c r="F966" s="1" t="s">
        <v>10842</v>
      </c>
      <c r="G966" t="s">
        <v>10843</v>
      </c>
      <c r="I966" s="1"/>
      <c r="J966" s="44"/>
      <c r="K966" s="44" t="s">
        <v>5088</v>
      </c>
      <c r="L966" s="1" t="s">
        <v>8009</v>
      </c>
      <c r="M966" s="1" t="s">
        <v>7865</v>
      </c>
      <c r="N966" s="1" t="s">
        <v>8140</v>
      </c>
    </row>
    <row r="967" spans="1:14">
      <c r="A967" s="1" t="s">
        <v>4191</v>
      </c>
      <c r="B967" s="1" t="s">
        <v>4192</v>
      </c>
      <c r="C967" s="1" t="s">
        <v>4193</v>
      </c>
      <c r="D967" s="1" t="s">
        <v>4340</v>
      </c>
      <c r="E967" s="1" t="s">
        <v>9978</v>
      </c>
      <c r="F967" s="1" t="s">
        <v>1709</v>
      </c>
      <c r="G967" t="s">
        <v>10844</v>
      </c>
      <c r="I967" s="1"/>
      <c r="J967" s="44"/>
      <c r="K967" s="44" t="s">
        <v>5067</v>
      </c>
      <c r="L967" s="1" t="s">
        <v>7371</v>
      </c>
      <c r="M967" s="1" t="s">
        <v>7264</v>
      </c>
      <c r="N967" s="1" t="s">
        <v>8137</v>
      </c>
    </row>
    <row r="968" spans="1:14">
      <c r="A968" s="1" t="s">
        <v>2297</v>
      </c>
      <c r="B968" s="1" t="s">
        <v>2298</v>
      </c>
      <c r="C968" s="1" t="s">
        <v>5029</v>
      </c>
      <c r="D968" s="1" t="s">
        <v>4343</v>
      </c>
      <c r="E968" s="1" t="s">
        <v>10845</v>
      </c>
      <c r="F968" s="1" t="s">
        <v>6406</v>
      </c>
      <c r="G968" t="s">
        <v>10846</v>
      </c>
      <c r="I968" s="1"/>
      <c r="J968" s="44" t="s">
        <v>5339</v>
      </c>
      <c r="K968" s="44" t="s">
        <v>5001</v>
      </c>
      <c r="L968" s="1" t="s">
        <v>6669</v>
      </c>
      <c r="M968" s="1" t="s">
        <v>8023</v>
      </c>
      <c r="N968" s="1" t="s">
        <v>8090</v>
      </c>
    </row>
    <row r="969" spans="1:14">
      <c r="A969" s="1" t="s">
        <v>4341</v>
      </c>
      <c r="B969" s="1" t="s">
        <v>4342</v>
      </c>
      <c r="C969" s="1" t="s">
        <v>1027</v>
      </c>
      <c r="D969" s="1" t="s">
        <v>4347</v>
      </c>
      <c r="E969" s="1" t="s">
        <v>10847</v>
      </c>
      <c r="F969" s="1" t="s">
        <v>6200</v>
      </c>
      <c r="G969" t="s">
        <v>10848</v>
      </c>
      <c r="I969" s="1"/>
      <c r="J969" s="44"/>
      <c r="K969" s="44" t="s">
        <v>5067</v>
      </c>
      <c r="L969" s="1" t="s">
        <v>8018</v>
      </c>
      <c r="M969" s="1" t="s">
        <v>10849</v>
      </c>
      <c r="N969" s="1" t="s">
        <v>8085</v>
      </c>
    </row>
    <row r="970" spans="1:14">
      <c r="A970" s="1" t="s">
        <v>4600</v>
      </c>
      <c r="B970" s="1" t="s">
        <v>4601</v>
      </c>
      <c r="C970" s="1" t="s">
        <v>4602</v>
      </c>
      <c r="D970" s="1" t="s">
        <v>4351</v>
      </c>
      <c r="E970" s="1" t="s">
        <v>6408</v>
      </c>
      <c r="F970" s="1" t="s">
        <v>6949</v>
      </c>
      <c r="G970" t="s">
        <v>6409</v>
      </c>
      <c r="I970" s="1"/>
      <c r="J970" s="44" t="s">
        <v>4604</v>
      </c>
      <c r="K970" s="44"/>
      <c r="L970" s="1" t="s">
        <v>6410</v>
      </c>
      <c r="M970" s="1" t="s">
        <v>6410</v>
      </c>
      <c r="N970" s="1" t="s">
        <v>8112</v>
      </c>
    </row>
    <row r="971" spans="1:14">
      <c r="A971" s="1" t="s">
        <v>5035</v>
      </c>
      <c r="B971" s="1" t="s">
        <v>5036</v>
      </c>
      <c r="C971" s="1" t="s">
        <v>5037</v>
      </c>
      <c r="D971" s="1" t="s">
        <v>4354</v>
      </c>
      <c r="E971" s="1" t="s">
        <v>9806</v>
      </c>
      <c r="F971" s="1" t="s">
        <v>5546</v>
      </c>
      <c r="G971" t="s">
        <v>10850</v>
      </c>
      <c r="I971" s="1"/>
      <c r="J971" s="44" t="s">
        <v>10851</v>
      </c>
      <c r="K971" s="44" t="s">
        <v>5001</v>
      </c>
      <c r="L971" s="1" t="s">
        <v>10852</v>
      </c>
      <c r="M971" s="1" t="s">
        <v>10853</v>
      </c>
      <c r="N971" s="1" t="s">
        <v>8213</v>
      </c>
    </row>
    <row r="972" spans="1:14">
      <c r="A972" s="1" t="s">
        <v>4969</v>
      </c>
      <c r="B972" s="1" t="s">
        <v>4970</v>
      </c>
      <c r="C972" s="1" t="s">
        <v>4971</v>
      </c>
      <c r="D972" s="1" t="s">
        <v>4358</v>
      </c>
      <c r="E972" s="1" t="s">
        <v>10359</v>
      </c>
      <c r="F972" s="1" t="s">
        <v>3522</v>
      </c>
      <c r="G972" t="s">
        <v>10854</v>
      </c>
      <c r="I972" s="1"/>
      <c r="J972" s="44"/>
      <c r="K972" s="44" t="s">
        <v>7747</v>
      </c>
      <c r="L972" s="1" t="s">
        <v>7513</v>
      </c>
      <c r="M972" s="1" t="s">
        <v>8364</v>
      </c>
      <c r="N972" s="1" t="s">
        <v>8213</v>
      </c>
    </row>
    <row r="973" spans="1:14">
      <c r="A973" s="1" t="s">
        <v>4809</v>
      </c>
      <c r="B973" s="1" t="s">
        <v>4810</v>
      </c>
      <c r="C973" s="1" t="s">
        <v>4810</v>
      </c>
      <c r="D973" s="1" t="s">
        <v>4363</v>
      </c>
      <c r="E973" s="1" t="s">
        <v>10855</v>
      </c>
      <c r="F973" s="1" t="s">
        <v>10856</v>
      </c>
      <c r="G973" t="s">
        <v>10857</v>
      </c>
      <c r="I973" s="1"/>
      <c r="J973" s="44" t="s">
        <v>54</v>
      </c>
      <c r="K973" s="44" t="s">
        <v>5497</v>
      </c>
      <c r="L973" s="1" t="s">
        <v>6004</v>
      </c>
      <c r="M973" s="1" t="s">
        <v>7056</v>
      </c>
      <c r="N973" s="1" t="s">
        <v>8102</v>
      </c>
    </row>
    <row r="974" spans="1:14">
      <c r="A974" s="1" t="s">
        <v>4344</v>
      </c>
      <c r="B974" s="1" t="s">
        <v>4345</v>
      </c>
      <c r="C974" s="1" t="s">
        <v>4346</v>
      </c>
      <c r="D974" s="1" t="s">
        <v>4367</v>
      </c>
      <c r="E974" s="1" t="s">
        <v>10858</v>
      </c>
      <c r="F974" s="1" t="s">
        <v>1997</v>
      </c>
      <c r="G974" t="s">
        <v>10859</v>
      </c>
      <c r="I974" s="1"/>
      <c r="J974" s="44"/>
      <c r="K974" s="44" t="s">
        <v>9721</v>
      </c>
      <c r="L974" s="1" t="s">
        <v>7628</v>
      </c>
      <c r="M974" s="1" t="s">
        <v>10860</v>
      </c>
      <c r="N974" s="1" t="s">
        <v>8098</v>
      </c>
    </row>
    <row r="975" spans="1:14">
      <c r="A975" s="1" t="s">
        <v>4186</v>
      </c>
      <c r="B975" s="1" t="s">
        <v>4187</v>
      </c>
      <c r="C975" s="1" t="s">
        <v>4188</v>
      </c>
      <c r="D975" s="1" t="s">
        <v>4371</v>
      </c>
      <c r="E975" s="1" t="s">
        <v>9978</v>
      </c>
      <c r="F975" s="1" t="s">
        <v>1709</v>
      </c>
      <c r="G975" t="s">
        <v>10861</v>
      </c>
      <c r="I975" s="1"/>
      <c r="J975" s="44" t="s">
        <v>4190</v>
      </c>
      <c r="K975" s="44" t="s">
        <v>5067</v>
      </c>
      <c r="L975" s="1" t="s">
        <v>5791</v>
      </c>
      <c r="M975" s="1" t="s">
        <v>6947</v>
      </c>
      <c r="N975" s="1" t="s">
        <v>8162</v>
      </c>
    </row>
    <row r="976" spans="1:14">
      <c r="A976" s="1" t="s">
        <v>4229</v>
      </c>
      <c r="B976" s="1" t="s">
        <v>4230</v>
      </c>
      <c r="C976" s="1" t="s">
        <v>4231</v>
      </c>
      <c r="D976" s="1" t="s">
        <v>4375</v>
      </c>
      <c r="E976" s="1" t="s">
        <v>10862</v>
      </c>
      <c r="F976" s="1" t="s">
        <v>2203</v>
      </c>
      <c r="G976" t="s">
        <v>10863</v>
      </c>
      <c r="I976" s="1"/>
      <c r="J976" s="44" t="s">
        <v>6950</v>
      </c>
      <c r="K976" s="44" t="s">
        <v>5212</v>
      </c>
      <c r="L976" s="1" t="s">
        <v>6025</v>
      </c>
      <c r="M976" s="1" t="s">
        <v>8012</v>
      </c>
      <c r="N976" s="1" t="s">
        <v>8186</v>
      </c>
    </row>
    <row r="977" spans="1:14">
      <c r="A977" s="1" t="s">
        <v>4770</v>
      </c>
      <c r="B977" s="1" t="s">
        <v>4771</v>
      </c>
      <c r="C977" s="1" t="s">
        <v>4772</v>
      </c>
      <c r="D977" s="1" t="s">
        <v>4379</v>
      </c>
      <c r="E977" s="1" t="s">
        <v>10864</v>
      </c>
      <c r="F977" s="1" t="s">
        <v>7483</v>
      </c>
      <c r="G977" t="s">
        <v>10865</v>
      </c>
      <c r="I977" s="1"/>
      <c r="J977" s="44" t="s">
        <v>10866</v>
      </c>
      <c r="K977" s="44" t="s">
        <v>6740</v>
      </c>
      <c r="L977" s="1" t="s">
        <v>7362</v>
      </c>
      <c r="M977" s="1" t="s">
        <v>8051</v>
      </c>
      <c r="N977" s="1" t="s">
        <v>8080</v>
      </c>
    </row>
    <row r="978" spans="1:14">
      <c r="A978" s="1" t="s">
        <v>4823</v>
      </c>
      <c r="B978" s="1" t="s">
        <v>4824</v>
      </c>
      <c r="C978" s="1" t="s">
        <v>4825</v>
      </c>
      <c r="D978" s="1" t="s">
        <v>4383</v>
      </c>
      <c r="E978" s="1" t="s">
        <v>9978</v>
      </c>
      <c r="F978" s="1" t="s">
        <v>1709</v>
      </c>
      <c r="G978" t="s">
        <v>10867</v>
      </c>
      <c r="I978" s="1"/>
      <c r="J978" s="44"/>
      <c r="K978" s="44" t="s">
        <v>5001</v>
      </c>
      <c r="L978" s="1" t="s">
        <v>5002</v>
      </c>
      <c r="M978" s="1" t="s">
        <v>7592</v>
      </c>
      <c r="N978" s="1" t="s">
        <v>8102</v>
      </c>
    </row>
    <row r="979" spans="1:14">
      <c r="A979" s="1" t="s">
        <v>4203</v>
      </c>
      <c r="B979" s="1" t="s">
        <v>4204</v>
      </c>
      <c r="C979" s="1" t="s">
        <v>4205</v>
      </c>
      <c r="D979" s="1" t="s">
        <v>4386</v>
      </c>
      <c r="E979" s="1" t="s">
        <v>7569</v>
      </c>
      <c r="F979" s="1" t="s">
        <v>5716</v>
      </c>
      <c r="G979" t="s">
        <v>8052</v>
      </c>
      <c r="I979" s="1"/>
      <c r="J979" s="44"/>
      <c r="K979" s="44" t="s">
        <v>5018</v>
      </c>
      <c r="L979" s="1" t="s">
        <v>6118</v>
      </c>
      <c r="M979" s="1" t="s">
        <v>6099</v>
      </c>
      <c r="N979" s="1" t="s">
        <v>8133</v>
      </c>
    </row>
    <row r="980" spans="1:14">
      <c r="A980" s="1" t="s">
        <v>5030</v>
      </c>
      <c r="B980" s="1" t="s">
        <v>5031</v>
      </c>
      <c r="C980" s="1" t="s">
        <v>5032</v>
      </c>
      <c r="D980" s="1" t="s">
        <v>4391</v>
      </c>
      <c r="E980" s="1" t="s">
        <v>10868</v>
      </c>
      <c r="F980" s="1" t="s">
        <v>7267</v>
      </c>
      <c r="G980" t="s">
        <v>10869</v>
      </c>
      <c r="I980" s="1"/>
      <c r="J980" s="44" t="s">
        <v>54</v>
      </c>
      <c r="K980" s="44" t="s">
        <v>5757</v>
      </c>
      <c r="L980" s="1" t="s">
        <v>10870</v>
      </c>
      <c r="M980" s="1" t="s">
        <v>7661</v>
      </c>
      <c r="N980" s="1" t="s">
        <v>8213</v>
      </c>
    </row>
    <row r="981" spans="1:14">
      <c r="A981" s="1" t="s">
        <v>4274</v>
      </c>
      <c r="B981" s="1" t="s">
        <v>4275</v>
      </c>
      <c r="C981" s="1" t="s">
        <v>4276</v>
      </c>
      <c r="D981" s="1" t="s">
        <v>4395</v>
      </c>
      <c r="E981" s="1" t="s">
        <v>10871</v>
      </c>
      <c r="F981" s="1" t="s">
        <v>754</v>
      </c>
      <c r="G981" t="s">
        <v>10872</v>
      </c>
      <c r="I981" s="1"/>
      <c r="J981" s="44"/>
      <c r="K981" s="44" t="s">
        <v>5067</v>
      </c>
      <c r="L981" s="1" t="s">
        <v>5088</v>
      </c>
      <c r="M981" s="1" t="s">
        <v>7134</v>
      </c>
      <c r="N981" s="1" t="s">
        <v>8098</v>
      </c>
    </row>
    <row r="982" spans="1:14">
      <c r="A982" s="1" t="s">
        <v>4118</v>
      </c>
      <c r="B982" s="1" t="s">
        <v>4119</v>
      </c>
      <c r="C982" s="1" t="s">
        <v>4120</v>
      </c>
      <c r="D982" s="1" t="s">
        <v>4399</v>
      </c>
      <c r="E982" s="1" t="s">
        <v>10873</v>
      </c>
      <c r="F982" s="1" t="s">
        <v>6394</v>
      </c>
      <c r="G982" t="s">
        <v>10874</v>
      </c>
      <c r="I982" s="1"/>
      <c r="J982" s="44" t="s">
        <v>1002</v>
      </c>
      <c r="K982" s="44" t="s">
        <v>5373</v>
      </c>
      <c r="L982" s="1" t="s">
        <v>10875</v>
      </c>
      <c r="M982" s="1" t="s">
        <v>10876</v>
      </c>
      <c r="N982" s="1" t="s">
        <v>8213</v>
      </c>
    </row>
    <row r="983" spans="1:14">
      <c r="A983" s="1" t="s">
        <v>4169</v>
      </c>
      <c r="B983" s="1" t="s">
        <v>4170</v>
      </c>
      <c r="C983" s="1" t="s">
        <v>4171</v>
      </c>
      <c r="D983" s="1" t="s">
        <v>4404</v>
      </c>
      <c r="E983" s="1" t="s">
        <v>10877</v>
      </c>
      <c r="F983" s="1" t="s">
        <v>5935</v>
      </c>
      <c r="G983" t="s">
        <v>10878</v>
      </c>
      <c r="I983" s="1"/>
      <c r="J983" s="44" t="s">
        <v>10879</v>
      </c>
      <c r="K983" s="44" t="s">
        <v>5067</v>
      </c>
      <c r="L983" s="1" t="s">
        <v>6160</v>
      </c>
      <c r="M983" s="1" t="s">
        <v>5953</v>
      </c>
      <c r="N983" s="1" t="s">
        <v>8263</v>
      </c>
    </row>
    <row r="984" spans="1:14">
      <c r="A984" s="1" t="s">
        <v>3995</v>
      </c>
      <c r="B984" s="1" t="s">
        <v>3996</v>
      </c>
      <c r="C984" s="1" t="s">
        <v>3997</v>
      </c>
      <c r="D984" s="1" t="s">
        <v>4408</v>
      </c>
      <c r="E984" s="1" t="s">
        <v>6405</v>
      </c>
      <c r="F984" s="1" t="s">
        <v>10880</v>
      </c>
      <c r="G984" t="s">
        <v>7484</v>
      </c>
      <c r="I984" s="1"/>
      <c r="J984" s="44"/>
      <c r="K984" s="44"/>
      <c r="L984" s="1" t="s">
        <v>6054</v>
      </c>
      <c r="M984" s="1" t="s">
        <v>5841</v>
      </c>
      <c r="N984" s="1" t="s">
        <v>8396</v>
      </c>
    </row>
    <row r="985" spans="1:14">
      <c r="A985" s="1" t="s">
        <v>4409</v>
      </c>
      <c r="B985" s="1" t="s">
        <v>4972</v>
      </c>
      <c r="C985" s="1" t="s">
        <v>4410</v>
      </c>
      <c r="D985" s="1" t="s">
        <v>4411</v>
      </c>
      <c r="E985" s="1" t="s">
        <v>10881</v>
      </c>
      <c r="F985" s="1" t="s">
        <v>7781</v>
      </c>
      <c r="G985" t="s">
        <v>10882</v>
      </c>
      <c r="I985" s="1"/>
      <c r="J985" s="44"/>
      <c r="K985" s="44" t="s">
        <v>7331</v>
      </c>
      <c r="L985" s="1" t="s">
        <v>6659</v>
      </c>
      <c r="M985" s="1" t="s">
        <v>10883</v>
      </c>
      <c r="N985" s="1" t="s">
        <v>8102</v>
      </c>
    </row>
    <row r="986" spans="1:14">
      <c r="A986" s="1" t="s">
        <v>4730</v>
      </c>
      <c r="B986" s="1" t="s">
        <v>4731</v>
      </c>
      <c r="C986" s="1" t="s">
        <v>4732</v>
      </c>
      <c r="D986" s="1" t="s">
        <v>4415</v>
      </c>
      <c r="E986" s="1" t="s">
        <v>9978</v>
      </c>
      <c r="F986" s="1" t="s">
        <v>1709</v>
      </c>
      <c r="G986" t="s">
        <v>10884</v>
      </c>
      <c r="I986" s="1"/>
      <c r="J986" s="44"/>
      <c r="K986" s="44" t="s">
        <v>5067</v>
      </c>
      <c r="L986" s="1" t="s">
        <v>10885</v>
      </c>
      <c r="M986" s="1" t="s">
        <v>6947</v>
      </c>
      <c r="N986" s="1" t="s">
        <v>8133</v>
      </c>
    </row>
    <row r="987" spans="1:14">
      <c r="A987" s="1" t="s">
        <v>5335</v>
      </c>
      <c r="B987" s="1" t="s">
        <v>5081</v>
      </c>
      <c r="C987" s="1" t="s">
        <v>5082</v>
      </c>
      <c r="D987" s="1" t="s">
        <v>4419</v>
      </c>
      <c r="E987" s="1" t="s">
        <v>10886</v>
      </c>
      <c r="F987" s="1" t="s">
        <v>3522</v>
      </c>
      <c r="G987" t="s">
        <v>10887</v>
      </c>
      <c r="I987" s="1"/>
      <c r="J987" s="44" t="s">
        <v>10888</v>
      </c>
      <c r="K987" s="44" t="s">
        <v>5743</v>
      </c>
      <c r="L987" s="1" t="s">
        <v>5860</v>
      </c>
      <c r="M987" s="1" t="s">
        <v>10889</v>
      </c>
      <c r="N987" s="1" t="s">
        <v>8121</v>
      </c>
    </row>
    <row r="988" spans="1:14">
      <c r="A988" s="1" t="s">
        <v>4368</v>
      </c>
      <c r="B988" s="1" t="s">
        <v>4369</v>
      </c>
      <c r="C988" s="1" t="s">
        <v>4370</v>
      </c>
      <c r="D988" s="1" t="s">
        <v>4423</v>
      </c>
      <c r="E988" s="1" t="s">
        <v>10890</v>
      </c>
      <c r="F988" s="1" t="s">
        <v>7734</v>
      </c>
      <c r="G988" t="s">
        <v>10891</v>
      </c>
      <c r="I988" s="1"/>
      <c r="J988" s="44"/>
      <c r="K988" s="44" t="s">
        <v>6562</v>
      </c>
      <c r="L988" s="1" t="s">
        <v>7210</v>
      </c>
      <c r="M988" s="1" t="s">
        <v>10892</v>
      </c>
      <c r="N988" s="1" t="s">
        <v>8190</v>
      </c>
    </row>
    <row r="989" spans="1:14">
      <c r="A989" s="1" t="s">
        <v>4680</v>
      </c>
      <c r="B989" s="1" t="s">
        <v>4681</v>
      </c>
      <c r="C989" s="1" t="s">
        <v>4682</v>
      </c>
      <c r="D989" s="1" t="s">
        <v>4427</v>
      </c>
      <c r="E989" s="1" t="s">
        <v>10893</v>
      </c>
      <c r="F989" s="1" t="s">
        <v>2802</v>
      </c>
      <c r="G989" t="s">
        <v>10894</v>
      </c>
      <c r="I989" s="1"/>
      <c r="J989" s="44"/>
      <c r="K989" s="44" t="s">
        <v>5001</v>
      </c>
      <c r="L989" s="1" t="s">
        <v>7638</v>
      </c>
      <c r="M989" s="1" t="s">
        <v>10895</v>
      </c>
      <c r="N989" s="1" t="s">
        <v>8263</v>
      </c>
    </row>
    <row r="990" spans="1:14">
      <c r="A990" s="1" t="s">
        <v>4058</v>
      </c>
      <c r="B990" s="1" t="s">
        <v>4059</v>
      </c>
      <c r="C990" s="1" t="s">
        <v>4059</v>
      </c>
      <c r="D990" s="1" t="s">
        <v>4428</v>
      </c>
      <c r="E990" s="1" t="s">
        <v>10896</v>
      </c>
      <c r="F990" s="1" t="s">
        <v>1158</v>
      </c>
      <c r="G990" t="s">
        <v>10897</v>
      </c>
      <c r="I990" s="1"/>
      <c r="J990" s="44" t="s">
        <v>138</v>
      </c>
      <c r="K990" s="44" t="s">
        <v>5226</v>
      </c>
      <c r="L990" s="1" t="s">
        <v>7282</v>
      </c>
      <c r="M990" s="1" t="s">
        <v>7570</v>
      </c>
      <c r="N990" s="1" t="s">
        <v>8213</v>
      </c>
    </row>
    <row r="991" spans="1:14">
      <c r="A991" s="1" t="s">
        <v>4225</v>
      </c>
      <c r="B991" s="1" t="s">
        <v>4226</v>
      </c>
      <c r="C991" s="1" t="s">
        <v>4227</v>
      </c>
      <c r="D991" s="1" t="s">
        <v>4433</v>
      </c>
      <c r="E991" s="1" t="s">
        <v>10608</v>
      </c>
      <c r="F991" s="1" t="s">
        <v>2203</v>
      </c>
      <c r="G991" t="s">
        <v>10898</v>
      </c>
      <c r="I991" s="1"/>
      <c r="J991" s="44"/>
      <c r="K991" s="44" t="s">
        <v>5067</v>
      </c>
      <c r="L991" s="1" t="s">
        <v>5791</v>
      </c>
      <c r="M991" s="1"/>
      <c r="N991" s="1" t="s">
        <v>8137</v>
      </c>
    </row>
    <row r="992" spans="1:14">
      <c r="A992" s="1" t="s">
        <v>4355</v>
      </c>
      <c r="B992" s="1" t="s">
        <v>4356</v>
      </c>
      <c r="C992" s="1" t="s">
        <v>4357</v>
      </c>
      <c r="D992" s="1" t="s">
        <v>4437</v>
      </c>
      <c r="E992" s="1" t="s">
        <v>10899</v>
      </c>
      <c r="F992" s="1" t="s">
        <v>5702</v>
      </c>
      <c r="G992" t="s">
        <v>10900</v>
      </c>
      <c r="I992" s="1"/>
      <c r="J992" s="44" t="s">
        <v>4359</v>
      </c>
      <c r="K992" s="44" t="s">
        <v>5210</v>
      </c>
      <c r="L992" s="1" t="s">
        <v>10901</v>
      </c>
      <c r="M992" s="1" t="s">
        <v>10902</v>
      </c>
      <c r="N992" s="1" t="s">
        <v>8102</v>
      </c>
    </row>
    <row r="993" spans="1:14">
      <c r="A993" s="1" t="s">
        <v>4199</v>
      </c>
      <c r="B993" s="1" t="s">
        <v>4200</v>
      </c>
      <c r="C993" s="1" t="s">
        <v>4201</v>
      </c>
      <c r="D993" s="1" t="s">
        <v>4441</v>
      </c>
      <c r="E993" s="1" t="s">
        <v>10903</v>
      </c>
      <c r="F993" s="1" t="s">
        <v>8053</v>
      </c>
      <c r="G993" t="s">
        <v>10904</v>
      </c>
      <c r="I993" s="1"/>
      <c r="J993" s="44" t="s">
        <v>230</v>
      </c>
      <c r="K993" s="44" t="s">
        <v>5544</v>
      </c>
      <c r="L993" s="1" t="s">
        <v>7616</v>
      </c>
      <c r="M993" s="1" t="s">
        <v>7145</v>
      </c>
      <c r="N993" s="1" t="s">
        <v>8396</v>
      </c>
    </row>
    <row r="994" spans="1:14">
      <c r="A994" s="1" t="s">
        <v>4282</v>
      </c>
      <c r="B994" s="1" t="s">
        <v>4283</v>
      </c>
      <c r="C994" s="1" t="s">
        <v>4284</v>
      </c>
      <c r="D994" s="1" t="s">
        <v>4446</v>
      </c>
      <c r="E994" s="1" t="s">
        <v>10139</v>
      </c>
      <c r="F994" s="1" t="s">
        <v>4286</v>
      </c>
      <c r="G994" t="s">
        <v>10905</v>
      </c>
      <c r="I994" s="1"/>
      <c r="J994" s="44" t="s">
        <v>1103</v>
      </c>
      <c r="K994" s="44" t="s">
        <v>5067</v>
      </c>
      <c r="L994" s="1" t="s">
        <v>5791</v>
      </c>
      <c r="M994" s="1" t="s">
        <v>7592</v>
      </c>
      <c r="N994" s="1" t="s">
        <v>8213</v>
      </c>
    </row>
    <row r="995" spans="1:14">
      <c r="A995" s="1" t="s">
        <v>4032</v>
      </c>
      <c r="B995" s="1" t="s">
        <v>4033</v>
      </c>
      <c r="C995" s="1" t="s">
        <v>4034</v>
      </c>
      <c r="D995" s="1" t="s">
        <v>4450</v>
      </c>
      <c r="E995" s="1" t="s">
        <v>10906</v>
      </c>
      <c r="F995" s="1" t="s">
        <v>6617</v>
      </c>
      <c r="G995" t="s">
        <v>10907</v>
      </c>
      <c r="I995" s="1"/>
      <c r="J995" s="44"/>
      <c r="K995" s="44" t="s">
        <v>5067</v>
      </c>
      <c r="L995" s="1" t="s">
        <v>6355</v>
      </c>
      <c r="M995" s="1" t="s">
        <v>6067</v>
      </c>
      <c r="N995" s="1" t="s">
        <v>8121</v>
      </c>
    </row>
    <row r="996" spans="1:14">
      <c r="A996" s="1" t="s">
        <v>4237</v>
      </c>
      <c r="B996" s="1" t="s">
        <v>4238</v>
      </c>
      <c r="C996" s="1" t="s">
        <v>4239</v>
      </c>
      <c r="D996" s="1" t="s">
        <v>4454</v>
      </c>
      <c r="E996" s="1" t="s">
        <v>7901</v>
      </c>
      <c r="F996" s="1" t="s">
        <v>5636</v>
      </c>
      <c r="G996" t="s">
        <v>8054</v>
      </c>
      <c r="I996" s="1"/>
      <c r="J996" s="44" t="s">
        <v>4241</v>
      </c>
      <c r="K996" s="44" t="s">
        <v>5241</v>
      </c>
      <c r="L996" s="1" t="s">
        <v>5876</v>
      </c>
      <c r="M996" s="1" t="s">
        <v>10908</v>
      </c>
      <c r="N996" s="1" t="s">
        <v>8190</v>
      </c>
    </row>
    <row r="997" spans="1:14">
      <c r="A997" s="1" t="s">
        <v>4067</v>
      </c>
      <c r="B997" s="1" t="s">
        <v>4068</v>
      </c>
      <c r="C997" s="1" t="s">
        <v>4069</v>
      </c>
      <c r="D997" s="1" t="s">
        <v>4458</v>
      </c>
      <c r="E997" s="1" t="s">
        <v>10909</v>
      </c>
      <c r="F997" s="1" t="s">
        <v>10910</v>
      </c>
      <c r="G997" t="s">
        <v>10911</v>
      </c>
      <c r="I997" s="1"/>
      <c r="J997" s="44" t="s">
        <v>4071</v>
      </c>
      <c r="K997" s="44" t="s">
        <v>5373</v>
      </c>
      <c r="L997" s="1" t="s">
        <v>6085</v>
      </c>
      <c r="M997" s="1" t="s">
        <v>7665</v>
      </c>
      <c r="N997" s="1" t="s">
        <v>8213</v>
      </c>
    </row>
    <row r="998" spans="1:14">
      <c r="A998" s="1" t="s">
        <v>4412</v>
      </c>
      <c r="B998" s="1" t="s">
        <v>4413</v>
      </c>
      <c r="C998" s="1" t="s">
        <v>4414</v>
      </c>
      <c r="D998" s="1" t="s">
        <v>4463</v>
      </c>
      <c r="E998" s="1" t="s">
        <v>10912</v>
      </c>
      <c r="F998" s="1" t="s">
        <v>7668</v>
      </c>
      <c r="G998" t="s">
        <v>10913</v>
      </c>
      <c r="I998" s="1"/>
      <c r="J998" s="44" t="s">
        <v>10914</v>
      </c>
      <c r="K998" s="44" t="s">
        <v>5001</v>
      </c>
      <c r="L998" s="1" t="s">
        <v>7490</v>
      </c>
      <c r="M998" s="1" t="s">
        <v>10915</v>
      </c>
      <c r="N998" s="1" t="s">
        <v>8121</v>
      </c>
    </row>
    <row r="999" spans="1:14">
      <c r="A999" s="1" t="s">
        <v>4540</v>
      </c>
      <c r="B999" s="1" t="s">
        <v>4541</v>
      </c>
      <c r="C999" s="1" t="s">
        <v>4542</v>
      </c>
      <c r="D999" s="1" t="s">
        <v>4467</v>
      </c>
      <c r="E999" s="1" t="s">
        <v>10916</v>
      </c>
      <c r="F999" s="1" t="s">
        <v>3898</v>
      </c>
      <c r="G999" t="s">
        <v>10917</v>
      </c>
      <c r="I999" s="1"/>
      <c r="J999" s="44"/>
      <c r="K999" s="44" t="s">
        <v>5067</v>
      </c>
      <c r="L999" s="1" t="s">
        <v>6184</v>
      </c>
      <c r="M999" s="1" t="s">
        <v>10918</v>
      </c>
      <c r="N999" s="1" t="s">
        <v>8080</v>
      </c>
    </row>
    <row r="1000" spans="1:14">
      <c r="A1000" s="1" t="s">
        <v>4424</v>
      </c>
      <c r="B1000" s="1" t="s">
        <v>4425</v>
      </c>
      <c r="C1000" s="1" t="s">
        <v>4426</v>
      </c>
      <c r="D1000" s="1" t="s">
        <v>4471</v>
      </c>
      <c r="E1000" s="1" t="s">
        <v>10919</v>
      </c>
      <c r="F1000" s="1" t="s">
        <v>2152</v>
      </c>
      <c r="G1000" t="s">
        <v>10920</v>
      </c>
      <c r="I1000" s="1"/>
      <c r="J1000" s="44"/>
      <c r="K1000" s="44" t="s">
        <v>5537</v>
      </c>
      <c r="L1000" s="1" t="s">
        <v>7033</v>
      </c>
      <c r="M1000" s="1" t="s">
        <v>7787</v>
      </c>
      <c r="N1000" s="1" t="s">
        <v>8085</v>
      </c>
    </row>
    <row r="1001" spans="1:14">
      <c r="A1001" s="1" t="s">
        <v>4420</v>
      </c>
      <c r="B1001" s="1" t="s">
        <v>4421</v>
      </c>
      <c r="C1001" s="1" t="s">
        <v>4422</v>
      </c>
      <c r="D1001" s="1" t="s">
        <v>4475</v>
      </c>
      <c r="E1001" s="1" t="s">
        <v>9817</v>
      </c>
      <c r="F1001" s="1" t="s">
        <v>754</v>
      </c>
      <c r="G1001" t="s">
        <v>10921</v>
      </c>
      <c r="I1001" s="1"/>
      <c r="J1001" s="44"/>
      <c r="K1001" s="44" t="s">
        <v>5067</v>
      </c>
      <c r="L1001" s="1" t="s">
        <v>5791</v>
      </c>
      <c r="M1001" s="1" t="s">
        <v>6032</v>
      </c>
      <c r="N1001" s="1" t="s">
        <v>8263</v>
      </c>
    </row>
    <row r="1002" spans="1:14">
      <c r="A1002" s="1" t="s">
        <v>4405</v>
      </c>
      <c r="B1002" s="1" t="s">
        <v>4406</v>
      </c>
      <c r="C1002" s="1" t="s">
        <v>4407</v>
      </c>
      <c r="D1002" s="1" t="s">
        <v>4479</v>
      </c>
      <c r="E1002" s="1" t="s">
        <v>10922</v>
      </c>
      <c r="F1002" s="1" t="s">
        <v>4985</v>
      </c>
      <c r="G1002" t="s">
        <v>10923</v>
      </c>
      <c r="I1002" s="1"/>
      <c r="J1002" s="44" t="s">
        <v>5991</v>
      </c>
      <c r="K1002" s="44" t="s">
        <v>5018</v>
      </c>
      <c r="L1002" s="1" t="s">
        <v>8020</v>
      </c>
      <c r="M1002" s="1" t="s">
        <v>10924</v>
      </c>
      <c r="N1002" s="1" t="s">
        <v>8162</v>
      </c>
    </row>
    <row r="1003" spans="1:14">
      <c r="A1003" s="1" t="s">
        <v>4216</v>
      </c>
      <c r="B1003" s="1" t="s">
        <v>4217</v>
      </c>
      <c r="C1003" s="1" t="s">
        <v>4218</v>
      </c>
      <c r="D1003" s="1" t="s">
        <v>4483</v>
      </c>
      <c r="E1003" s="1" t="s">
        <v>10925</v>
      </c>
      <c r="F1003" s="1" t="s">
        <v>6350</v>
      </c>
      <c r="G1003" t="s">
        <v>10926</v>
      </c>
      <c r="I1003" s="1"/>
      <c r="J1003" s="44" t="s">
        <v>4185</v>
      </c>
      <c r="K1003" s="44" t="s">
        <v>5001</v>
      </c>
      <c r="L1003" s="1" t="s">
        <v>7634</v>
      </c>
      <c r="M1003" s="1" t="s">
        <v>10927</v>
      </c>
      <c r="N1003" s="1" t="s">
        <v>8112</v>
      </c>
    </row>
    <row r="1004" spans="1:14">
      <c r="A1004" s="1" t="s">
        <v>4207</v>
      </c>
      <c r="B1004" s="1" t="s">
        <v>4208</v>
      </c>
      <c r="C1004" s="1" t="s">
        <v>4209</v>
      </c>
      <c r="D1004" s="1" t="s">
        <v>4487</v>
      </c>
      <c r="E1004" s="1" t="s">
        <v>9705</v>
      </c>
      <c r="F1004" s="1" t="s">
        <v>1158</v>
      </c>
      <c r="G1004" t="s">
        <v>10928</v>
      </c>
      <c r="I1004" s="1"/>
      <c r="J1004" s="44" t="s">
        <v>4211</v>
      </c>
      <c r="K1004" s="44" t="s">
        <v>5001</v>
      </c>
      <c r="L1004" s="1" t="s">
        <v>10929</v>
      </c>
      <c r="M1004" s="1" t="s">
        <v>6613</v>
      </c>
      <c r="N1004" s="1" t="s">
        <v>8133</v>
      </c>
    </row>
    <row r="1005" spans="1:14">
      <c r="A1005" s="1" t="s">
        <v>4292</v>
      </c>
      <c r="B1005" s="1" t="s">
        <v>4293</v>
      </c>
      <c r="C1005" s="1" t="s">
        <v>157</v>
      </c>
      <c r="D1005" s="1" t="s">
        <v>4492</v>
      </c>
      <c r="E1005" s="1" t="s">
        <v>10930</v>
      </c>
      <c r="F1005" s="1" t="s">
        <v>4910</v>
      </c>
      <c r="G1005" t="s">
        <v>10931</v>
      </c>
      <c r="I1005" s="1"/>
      <c r="J1005" s="44"/>
      <c r="K1005" s="44" t="s">
        <v>5405</v>
      </c>
      <c r="L1005" s="1" t="s">
        <v>7200</v>
      </c>
      <c r="M1005" s="1" t="s">
        <v>10932</v>
      </c>
      <c r="N1005" s="1" t="s">
        <v>8085</v>
      </c>
    </row>
    <row r="1006" spans="1:14">
      <c r="A1006" s="1" t="s">
        <v>5116</v>
      </c>
      <c r="B1006" s="1" t="s">
        <v>5117</v>
      </c>
      <c r="C1006" s="1" t="s">
        <v>5118</v>
      </c>
      <c r="D1006" s="1" t="s">
        <v>4497</v>
      </c>
      <c r="E1006" s="1" t="s">
        <v>10933</v>
      </c>
      <c r="F1006" s="1" t="s">
        <v>6412</v>
      </c>
      <c r="G1006" t="s">
        <v>10934</v>
      </c>
      <c r="I1006" s="1"/>
      <c r="J1006" s="44" t="s">
        <v>230</v>
      </c>
      <c r="K1006" s="44" t="s">
        <v>5001</v>
      </c>
      <c r="L1006" s="1" t="s">
        <v>5088</v>
      </c>
      <c r="M1006" s="1" t="s">
        <v>7592</v>
      </c>
      <c r="N1006" s="1" t="s">
        <v>8213</v>
      </c>
    </row>
    <row r="1007" spans="1:14">
      <c r="A1007" s="1" t="s">
        <v>5042</v>
      </c>
      <c r="B1007" s="1" t="s">
        <v>5043</v>
      </c>
      <c r="C1007" s="1" t="s">
        <v>5044</v>
      </c>
      <c r="D1007" s="1" t="s">
        <v>4502</v>
      </c>
      <c r="E1007" s="1" t="s">
        <v>10935</v>
      </c>
      <c r="F1007" s="1" t="s">
        <v>6681</v>
      </c>
      <c r="G1007" t="s">
        <v>10936</v>
      </c>
      <c r="I1007" s="1"/>
      <c r="J1007" s="44" t="s">
        <v>5045</v>
      </c>
      <c r="K1007" s="44" t="s">
        <v>5067</v>
      </c>
      <c r="L1007" s="1" t="s">
        <v>6989</v>
      </c>
      <c r="M1007" s="1" t="s">
        <v>10937</v>
      </c>
      <c r="N1007" s="1" t="s">
        <v>8090</v>
      </c>
    </row>
    <row r="1008" spans="1:14">
      <c r="A1008" s="1" t="s">
        <v>4320</v>
      </c>
      <c r="B1008" s="1" t="s">
        <v>4321</v>
      </c>
      <c r="C1008" s="1" t="s">
        <v>4322</v>
      </c>
      <c r="D1008" s="1" t="s">
        <v>4506</v>
      </c>
      <c r="E1008" s="1" t="s">
        <v>10938</v>
      </c>
      <c r="F1008" s="1" t="s">
        <v>3271</v>
      </c>
      <c r="G1008" t="s">
        <v>10939</v>
      </c>
      <c r="I1008" s="1"/>
      <c r="J1008" s="44"/>
      <c r="K1008" s="44" t="s">
        <v>5067</v>
      </c>
      <c r="L1008" s="1" t="s">
        <v>7048</v>
      </c>
      <c r="M1008" s="1" t="s">
        <v>10940</v>
      </c>
      <c r="N1008" s="1" t="s">
        <v>8080</v>
      </c>
    </row>
    <row r="1009" spans="1:14">
      <c r="A1009" s="1" t="s">
        <v>4464</v>
      </c>
      <c r="B1009" s="1" t="s">
        <v>4465</v>
      </c>
      <c r="C1009" s="1" t="s">
        <v>4466</v>
      </c>
      <c r="D1009" s="1" t="s">
        <v>4509</v>
      </c>
      <c r="E1009" s="1" t="s">
        <v>10941</v>
      </c>
      <c r="F1009" s="1" t="s">
        <v>5653</v>
      </c>
      <c r="G1009" t="s">
        <v>10942</v>
      </c>
      <c r="I1009" s="1"/>
      <c r="J1009" s="44"/>
      <c r="K1009" s="44" t="s">
        <v>6228</v>
      </c>
      <c r="L1009" s="1" t="s">
        <v>6652</v>
      </c>
      <c r="M1009" s="1" t="s">
        <v>5808</v>
      </c>
      <c r="N1009" s="1" t="s">
        <v>8098</v>
      </c>
    </row>
    <row r="1010" spans="1:14">
      <c r="A1010" s="1" t="s">
        <v>4233</v>
      </c>
      <c r="B1010" s="1" t="s">
        <v>4234</v>
      </c>
      <c r="C1010" s="1" t="s">
        <v>4235</v>
      </c>
      <c r="D1010" s="1" t="s">
        <v>4513</v>
      </c>
      <c r="E1010" s="1" t="s">
        <v>10943</v>
      </c>
      <c r="F1010" s="1" t="s">
        <v>6953</v>
      </c>
      <c r="G1010" t="s">
        <v>10944</v>
      </c>
      <c r="I1010" s="1"/>
      <c r="J1010" s="44"/>
      <c r="K1010" s="44" t="s">
        <v>5062</v>
      </c>
      <c r="L1010" s="1" t="s">
        <v>7574</v>
      </c>
      <c r="M1010" s="1" t="s">
        <v>10945</v>
      </c>
      <c r="N1010" s="1" t="s">
        <v>8090</v>
      </c>
    </row>
    <row r="1011" spans="1:14">
      <c r="A1011" s="1" t="s">
        <v>4396</v>
      </c>
      <c r="B1011" s="1" t="s">
        <v>4397</v>
      </c>
      <c r="C1011" s="1" t="s">
        <v>4398</v>
      </c>
      <c r="D1011" s="1" t="s">
        <v>4517</v>
      </c>
      <c r="E1011" s="1" t="s">
        <v>10946</v>
      </c>
      <c r="F1011" s="1" t="s">
        <v>6577</v>
      </c>
      <c r="G1011" t="s">
        <v>10947</v>
      </c>
      <c r="I1011" s="1"/>
      <c r="J1011" s="44" t="s">
        <v>4400</v>
      </c>
      <c r="K1011" s="44" t="s">
        <v>5067</v>
      </c>
      <c r="L1011" s="1" t="s">
        <v>7330</v>
      </c>
      <c r="M1011" s="1" t="s">
        <v>7747</v>
      </c>
      <c r="N1011" s="1" t="s">
        <v>8090</v>
      </c>
    </row>
    <row r="1012" spans="1:14">
      <c r="A1012" s="1" t="s">
        <v>4255</v>
      </c>
      <c r="B1012" s="1" t="s">
        <v>4256</v>
      </c>
      <c r="C1012" s="1" t="s">
        <v>4257</v>
      </c>
      <c r="D1012" s="1" t="s">
        <v>4522</v>
      </c>
      <c r="E1012" s="1" t="s">
        <v>10948</v>
      </c>
      <c r="F1012" s="1" t="s">
        <v>5805</v>
      </c>
      <c r="G1012" t="s">
        <v>10949</v>
      </c>
      <c r="I1012" s="1"/>
      <c r="J1012" s="44"/>
      <c r="K1012" s="44" t="s">
        <v>5067</v>
      </c>
      <c r="L1012" s="1" t="s">
        <v>7324</v>
      </c>
      <c r="M1012" s="1" t="s">
        <v>6628</v>
      </c>
      <c r="N1012" s="1" t="s">
        <v>8190</v>
      </c>
    </row>
    <row r="1013" spans="1:14">
      <c r="A1013" s="1" t="s">
        <v>4093</v>
      </c>
      <c r="B1013" s="1" t="s">
        <v>4094</v>
      </c>
      <c r="C1013" s="1" t="s">
        <v>4095</v>
      </c>
      <c r="D1013" s="1" t="s">
        <v>4526</v>
      </c>
      <c r="E1013" s="1" t="s">
        <v>10950</v>
      </c>
      <c r="F1013" s="1" t="s">
        <v>6000</v>
      </c>
      <c r="G1013" t="s">
        <v>10951</v>
      </c>
      <c r="I1013" s="1"/>
      <c r="J1013" s="44" t="s">
        <v>4097</v>
      </c>
      <c r="K1013" s="44" t="s">
        <v>5067</v>
      </c>
      <c r="L1013" s="1" t="s">
        <v>6184</v>
      </c>
      <c r="M1013" s="1" t="s">
        <v>10116</v>
      </c>
      <c r="N1013" s="1" t="s">
        <v>8133</v>
      </c>
    </row>
    <row r="1014" spans="1:14">
      <c r="A1014" s="1" t="s">
        <v>4503</v>
      </c>
      <c r="B1014" s="1" t="s">
        <v>4504</v>
      </c>
      <c r="C1014" s="1" t="s">
        <v>4505</v>
      </c>
      <c r="D1014" s="1" t="s">
        <v>4530</v>
      </c>
      <c r="E1014" s="1" t="s">
        <v>10952</v>
      </c>
      <c r="F1014" s="1" t="s">
        <v>6273</v>
      </c>
      <c r="G1014" t="s">
        <v>10953</v>
      </c>
      <c r="I1014" s="1"/>
      <c r="J1014" s="44" t="s">
        <v>4429</v>
      </c>
      <c r="K1014" s="44" t="s">
        <v>5001</v>
      </c>
      <c r="L1014" s="1" t="s">
        <v>7193</v>
      </c>
      <c r="M1014" s="1" t="s">
        <v>10954</v>
      </c>
      <c r="N1014" s="1" t="s">
        <v>8065</v>
      </c>
    </row>
    <row r="1015" spans="1:14">
      <c r="A1015" s="1" t="s">
        <v>4299</v>
      </c>
      <c r="B1015" s="1" t="s">
        <v>4300</v>
      </c>
      <c r="C1015" s="1" t="s">
        <v>4301</v>
      </c>
      <c r="D1015" s="1" t="s">
        <v>4535</v>
      </c>
      <c r="E1015" s="1" t="s">
        <v>10916</v>
      </c>
      <c r="F1015" s="1" t="s">
        <v>3898</v>
      </c>
      <c r="G1015" t="s">
        <v>10955</v>
      </c>
      <c r="I1015" s="1"/>
      <c r="J1015" s="44" t="s">
        <v>4303</v>
      </c>
      <c r="K1015" s="44" t="s">
        <v>5001</v>
      </c>
      <c r="L1015" s="1" t="s">
        <v>6125</v>
      </c>
      <c r="M1015" s="1"/>
      <c r="N1015" s="1" t="s">
        <v>8396</v>
      </c>
    </row>
    <row r="1016" spans="1:14">
      <c r="A1016" s="1" t="s">
        <v>4110</v>
      </c>
      <c r="B1016" s="1" t="s">
        <v>4111</v>
      </c>
      <c r="C1016" s="1" t="s">
        <v>4112</v>
      </c>
      <c r="D1016" s="1" t="s">
        <v>4539</v>
      </c>
      <c r="E1016" s="1" t="s">
        <v>10956</v>
      </c>
      <c r="F1016" s="1" t="s">
        <v>6414</v>
      </c>
      <c r="G1016" t="s">
        <v>10957</v>
      </c>
      <c r="I1016" s="1"/>
      <c r="J1016" s="44" t="s">
        <v>10958</v>
      </c>
      <c r="K1016" s="44" t="s">
        <v>5067</v>
      </c>
      <c r="L1016" s="1" t="s">
        <v>10959</v>
      </c>
      <c r="M1016" s="1" t="s">
        <v>10960</v>
      </c>
      <c r="N1016" s="1" t="s">
        <v>8112</v>
      </c>
    </row>
    <row r="1017" spans="1:14">
      <c r="A1017" s="1" t="s">
        <v>4098</v>
      </c>
      <c r="B1017" s="1" t="s">
        <v>4099</v>
      </c>
      <c r="C1017" s="1" t="s">
        <v>4100</v>
      </c>
      <c r="D1017" s="1" t="s">
        <v>4543</v>
      </c>
      <c r="E1017" s="1" t="s">
        <v>10961</v>
      </c>
      <c r="F1017" s="1" t="s">
        <v>5801</v>
      </c>
      <c r="G1017" t="s">
        <v>10962</v>
      </c>
      <c r="I1017" s="1"/>
      <c r="J1017" s="44"/>
      <c r="K1017" s="44" t="s">
        <v>5521</v>
      </c>
      <c r="L1017" s="1" t="s">
        <v>7194</v>
      </c>
      <c r="M1017" s="1" t="s">
        <v>7353</v>
      </c>
      <c r="N1017" s="1" t="s">
        <v>8121</v>
      </c>
    </row>
    <row r="1018" spans="1:14">
      <c r="A1018" s="1" t="s">
        <v>4181</v>
      </c>
      <c r="B1018" s="1" t="s">
        <v>4182</v>
      </c>
      <c r="C1018" s="1" t="s">
        <v>4183</v>
      </c>
      <c r="D1018" s="1" t="s">
        <v>4547</v>
      </c>
      <c r="E1018" s="1" t="s">
        <v>10963</v>
      </c>
      <c r="F1018" s="1" t="s">
        <v>10964</v>
      </c>
      <c r="G1018" t="s">
        <v>10965</v>
      </c>
      <c r="I1018" s="1"/>
      <c r="J1018" s="44" t="s">
        <v>4185</v>
      </c>
      <c r="K1018" s="44" t="s">
        <v>10966</v>
      </c>
      <c r="L1018" s="1" t="s">
        <v>6066</v>
      </c>
      <c r="M1018" s="1" t="s">
        <v>7339</v>
      </c>
      <c r="N1018" s="1" t="s">
        <v>8112</v>
      </c>
    </row>
    <row r="1019" spans="1:14">
      <c r="A1019" s="1" t="s">
        <v>4835</v>
      </c>
      <c r="B1019" s="1" t="s">
        <v>4836</v>
      </c>
      <c r="C1019" s="1" t="s">
        <v>4837</v>
      </c>
      <c r="D1019" s="1" t="s">
        <v>4551</v>
      </c>
      <c r="E1019" s="1" t="s">
        <v>10967</v>
      </c>
      <c r="F1019" s="1" t="s">
        <v>1158</v>
      </c>
      <c r="G1019" t="s">
        <v>10968</v>
      </c>
      <c r="I1019" s="1"/>
      <c r="J1019" s="44"/>
      <c r="K1019" s="44" t="s">
        <v>1081</v>
      </c>
      <c r="L1019" s="1" t="s">
        <v>5833</v>
      </c>
      <c r="M1019" s="1" t="s">
        <v>5000</v>
      </c>
      <c r="N1019" s="1" t="s">
        <v>8213</v>
      </c>
    </row>
    <row r="1020" spans="1:14">
      <c r="A1020" s="1" t="s">
        <v>4494</v>
      </c>
      <c r="B1020" s="1" t="s">
        <v>4495</v>
      </c>
      <c r="C1020" s="1" t="s">
        <v>4496</v>
      </c>
      <c r="D1020" s="1" t="s">
        <v>4555</v>
      </c>
      <c r="E1020" s="1" t="s">
        <v>10969</v>
      </c>
      <c r="F1020" s="1" t="s">
        <v>5820</v>
      </c>
      <c r="G1020" t="s">
        <v>10970</v>
      </c>
      <c r="I1020" s="1"/>
      <c r="J1020" s="44" t="s">
        <v>4498</v>
      </c>
      <c r="K1020" s="44" t="s">
        <v>5067</v>
      </c>
      <c r="L1020" s="1" t="s">
        <v>7772</v>
      </c>
      <c r="M1020" s="1" t="s">
        <v>5738</v>
      </c>
      <c r="N1020" s="1" t="s">
        <v>8186</v>
      </c>
    </row>
    <row r="1021" spans="1:14">
      <c r="A1021" s="1" t="s">
        <v>4827</v>
      </c>
      <c r="B1021" s="1" t="s">
        <v>4828</v>
      </c>
      <c r="C1021" s="1" t="s">
        <v>3992</v>
      </c>
      <c r="D1021" s="1" t="s">
        <v>4559</v>
      </c>
      <c r="E1021" s="1" t="s">
        <v>10971</v>
      </c>
      <c r="F1021" s="1" t="s">
        <v>6418</v>
      </c>
      <c r="G1021" t="s">
        <v>10972</v>
      </c>
      <c r="I1021" s="1"/>
      <c r="J1021" s="44"/>
      <c r="K1021" s="44" t="s">
        <v>5001</v>
      </c>
      <c r="L1021" s="1" t="s">
        <v>10973</v>
      </c>
      <c r="M1021" s="1" t="s">
        <v>7780</v>
      </c>
      <c r="N1021" s="1" t="s">
        <v>8137</v>
      </c>
    </row>
    <row r="1022" spans="1:14">
      <c r="A1022" s="1" t="s">
        <v>4195</v>
      </c>
      <c r="B1022" s="1" t="s">
        <v>4196</v>
      </c>
      <c r="C1022" s="1" t="s">
        <v>4197</v>
      </c>
      <c r="D1022" s="1" t="s">
        <v>4563</v>
      </c>
      <c r="E1022" s="1" t="s">
        <v>10974</v>
      </c>
      <c r="F1022" s="1" t="s">
        <v>5341</v>
      </c>
      <c r="G1022" t="s">
        <v>10975</v>
      </c>
      <c r="I1022" s="1"/>
      <c r="J1022" s="44"/>
      <c r="K1022" s="44" t="s">
        <v>5001</v>
      </c>
      <c r="L1022" s="1" t="s">
        <v>7888</v>
      </c>
      <c r="M1022" s="1" t="s">
        <v>10976</v>
      </c>
      <c r="N1022" s="1" t="s">
        <v>8090</v>
      </c>
    </row>
    <row r="1023" spans="1:14">
      <c r="A1023" s="1" t="s">
        <v>4372</v>
      </c>
      <c r="B1023" s="1" t="s">
        <v>4373</v>
      </c>
      <c r="C1023" s="1" t="s">
        <v>4374</v>
      </c>
      <c r="D1023" s="1" t="s">
        <v>4567</v>
      </c>
      <c r="E1023" s="1" t="s">
        <v>10977</v>
      </c>
      <c r="F1023" s="1" t="s">
        <v>6341</v>
      </c>
      <c r="G1023" t="s">
        <v>10978</v>
      </c>
      <c r="I1023" s="1"/>
      <c r="J1023" s="44"/>
      <c r="K1023" s="44" t="s">
        <v>5067</v>
      </c>
      <c r="L1023" s="1" t="s">
        <v>7577</v>
      </c>
      <c r="M1023" s="1" t="s">
        <v>7890</v>
      </c>
      <c r="N1023" s="1" t="s">
        <v>8152</v>
      </c>
    </row>
    <row r="1024" spans="1:14">
      <c r="A1024" s="1" t="s">
        <v>4725</v>
      </c>
      <c r="B1024" s="1" t="s">
        <v>4726</v>
      </c>
      <c r="C1024" s="1" t="s">
        <v>4727</v>
      </c>
      <c r="D1024" s="1" t="s">
        <v>4571</v>
      </c>
      <c r="E1024" s="1" t="s">
        <v>10979</v>
      </c>
      <c r="F1024" s="1" t="s">
        <v>2320</v>
      </c>
      <c r="G1024" t="s">
        <v>10980</v>
      </c>
      <c r="I1024" s="1"/>
      <c r="J1024" s="44" t="s">
        <v>4729</v>
      </c>
      <c r="K1024" s="44" t="s">
        <v>5067</v>
      </c>
      <c r="L1024" s="1" t="s">
        <v>5923</v>
      </c>
      <c r="M1024" s="1" t="s">
        <v>6552</v>
      </c>
      <c r="N1024" s="1" t="s">
        <v>8065</v>
      </c>
    </row>
    <row r="1025" spans="1:14">
      <c r="A1025" s="1" t="s">
        <v>4053</v>
      </c>
      <c r="B1025" s="1" t="s">
        <v>4054</v>
      </c>
      <c r="C1025" s="1" t="s">
        <v>4055</v>
      </c>
      <c r="D1025" s="1" t="s">
        <v>4575</v>
      </c>
      <c r="E1025" s="1" t="s">
        <v>10981</v>
      </c>
      <c r="F1025" s="1" t="s">
        <v>6419</v>
      </c>
      <c r="G1025" t="s">
        <v>10982</v>
      </c>
      <c r="I1025" s="1"/>
      <c r="J1025" s="44" t="s">
        <v>4057</v>
      </c>
      <c r="K1025" s="44" t="s">
        <v>5067</v>
      </c>
      <c r="L1025" s="1" t="s">
        <v>6993</v>
      </c>
      <c r="M1025" s="1" t="s">
        <v>7364</v>
      </c>
      <c r="N1025" s="1" t="s">
        <v>8171</v>
      </c>
    </row>
    <row r="1026" spans="1:14">
      <c r="A1026" s="1" t="s">
        <v>4157</v>
      </c>
      <c r="B1026" s="1" t="s">
        <v>4158</v>
      </c>
      <c r="C1026" s="1" t="s">
        <v>4159</v>
      </c>
      <c r="D1026" s="1" t="s">
        <v>4579</v>
      </c>
      <c r="E1026" s="1" t="s">
        <v>10983</v>
      </c>
      <c r="F1026" s="1" t="s">
        <v>5097</v>
      </c>
      <c r="G1026" t="s">
        <v>10984</v>
      </c>
      <c r="I1026" s="1"/>
      <c r="J1026" s="44" t="s">
        <v>3873</v>
      </c>
      <c r="K1026" s="44" t="s">
        <v>5399</v>
      </c>
      <c r="L1026" s="1" t="s">
        <v>5656</v>
      </c>
      <c r="M1026" s="1" t="s">
        <v>6639</v>
      </c>
      <c r="N1026" s="1" t="s">
        <v>8102</v>
      </c>
    </row>
    <row r="1027" spans="1:14">
      <c r="A1027" s="1" t="s">
        <v>4173</v>
      </c>
      <c r="B1027" s="1" t="s">
        <v>4174</v>
      </c>
      <c r="C1027" s="1" t="s">
        <v>4175</v>
      </c>
      <c r="D1027" s="1" t="s">
        <v>4584</v>
      </c>
      <c r="E1027" s="1" t="s">
        <v>10985</v>
      </c>
      <c r="F1027" s="1" t="s">
        <v>6672</v>
      </c>
      <c r="G1027" t="s">
        <v>10986</v>
      </c>
      <c r="I1027" s="1"/>
      <c r="J1027" s="44" t="s">
        <v>10987</v>
      </c>
      <c r="K1027" s="44" t="s">
        <v>5067</v>
      </c>
      <c r="L1027" s="1" t="s">
        <v>7724</v>
      </c>
      <c r="M1027" s="1" t="s">
        <v>7312</v>
      </c>
      <c r="N1027" s="1" t="s">
        <v>8213</v>
      </c>
    </row>
    <row r="1028" spans="1:14">
      <c r="A1028" s="1" t="s">
        <v>4177</v>
      </c>
      <c r="B1028" s="1" t="s">
        <v>4178</v>
      </c>
      <c r="C1028" s="1" t="s">
        <v>4179</v>
      </c>
      <c r="D1028" s="1" t="s">
        <v>4585</v>
      </c>
      <c r="E1028" s="1" t="s">
        <v>10988</v>
      </c>
      <c r="F1028" s="1" t="s">
        <v>5649</v>
      </c>
      <c r="G1028" t="s">
        <v>10989</v>
      </c>
      <c r="I1028" s="1"/>
      <c r="J1028" s="44"/>
      <c r="K1028" s="44" t="s">
        <v>5067</v>
      </c>
      <c r="L1028" s="1" t="s">
        <v>10990</v>
      </c>
      <c r="M1028" s="1" t="s">
        <v>10991</v>
      </c>
      <c r="N1028" s="1" t="s">
        <v>8171</v>
      </c>
    </row>
    <row r="1029" spans="1:14">
      <c r="A1029" s="1" t="s">
        <v>2363</v>
      </c>
      <c r="B1029" s="1" t="s">
        <v>2364</v>
      </c>
      <c r="C1029" s="1" t="s">
        <v>2365</v>
      </c>
      <c r="D1029" s="1" t="s">
        <v>4589</v>
      </c>
      <c r="E1029" s="1" t="s">
        <v>10992</v>
      </c>
      <c r="F1029" s="1" t="s">
        <v>10993</v>
      </c>
      <c r="G1029" t="s">
        <v>10994</v>
      </c>
      <c r="I1029" s="1"/>
      <c r="J1029" s="44" t="s">
        <v>460</v>
      </c>
      <c r="K1029" s="44" t="s">
        <v>7907</v>
      </c>
      <c r="L1029" s="1" t="s">
        <v>5661</v>
      </c>
      <c r="M1029" s="1" t="s">
        <v>8060</v>
      </c>
      <c r="N1029" s="1" t="s">
        <v>8162</v>
      </c>
    </row>
    <row r="1030" spans="1:14">
      <c r="A1030" s="1" t="s">
        <v>4438</v>
      </c>
      <c r="B1030" s="1" t="s">
        <v>4439</v>
      </c>
      <c r="C1030" s="1" t="s">
        <v>4440</v>
      </c>
      <c r="D1030" s="1" t="s">
        <v>4593</v>
      </c>
      <c r="E1030" s="1" t="s">
        <v>10995</v>
      </c>
      <c r="F1030" s="1" t="s">
        <v>4985</v>
      </c>
      <c r="G1030" t="s">
        <v>10996</v>
      </c>
      <c r="I1030" s="1"/>
      <c r="J1030" s="44" t="s">
        <v>4442</v>
      </c>
      <c r="K1030" s="44" t="s">
        <v>5067</v>
      </c>
      <c r="L1030" s="1" t="s">
        <v>7227</v>
      </c>
      <c r="M1030" s="1" t="s">
        <v>8417</v>
      </c>
      <c r="N1030" s="1" t="s">
        <v>8070</v>
      </c>
    </row>
    <row r="1031" spans="1:14">
      <c r="A1031" s="1" t="s">
        <v>4717</v>
      </c>
      <c r="B1031" s="1" t="s">
        <v>4718</v>
      </c>
      <c r="C1031" s="1" t="s">
        <v>4719</v>
      </c>
      <c r="D1031" s="1" t="s">
        <v>4598</v>
      </c>
      <c r="E1031" s="1" t="s">
        <v>10997</v>
      </c>
      <c r="F1031" s="1" t="s">
        <v>754</v>
      </c>
      <c r="G1031" t="s">
        <v>10998</v>
      </c>
      <c r="I1031" s="1"/>
      <c r="J1031" s="44"/>
      <c r="K1031" s="44" t="s">
        <v>5226</v>
      </c>
      <c r="L1031" s="1" t="s">
        <v>5814</v>
      </c>
      <c r="M1031" s="1" t="s">
        <v>10924</v>
      </c>
      <c r="N1031" s="1" t="s">
        <v>8112</v>
      </c>
    </row>
    <row r="1032" spans="1:14">
      <c r="A1032" s="1" t="s">
        <v>4721</v>
      </c>
      <c r="B1032" s="1" t="s">
        <v>4722</v>
      </c>
      <c r="C1032" s="1" t="s">
        <v>4723</v>
      </c>
      <c r="D1032" s="1" t="s">
        <v>4603</v>
      </c>
      <c r="E1032" s="1" t="s">
        <v>9978</v>
      </c>
      <c r="F1032" s="1" t="s">
        <v>1709</v>
      </c>
      <c r="G1032" t="s">
        <v>10999</v>
      </c>
      <c r="I1032" s="1"/>
      <c r="J1032" s="44"/>
      <c r="K1032" s="44" t="s">
        <v>5067</v>
      </c>
      <c r="L1032" s="1" t="s">
        <v>5791</v>
      </c>
      <c r="M1032" s="1" t="s">
        <v>5833</v>
      </c>
      <c r="N1032" s="1" t="s">
        <v>8190</v>
      </c>
    </row>
    <row r="1033" spans="1:14">
      <c r="A1033" s="1" t="s">
        <v>4080</v>
      </c>
      <c r="B1033" s="1" t="s">
        <v>4081</v>
      </c>
      <c r="C1033" s="1" t="s">
        <v>4082</v>
      </c>
      <c r="D1033" s="1" t="s">
        <v>4608</v>
      </c>
      <c r="E1033" s="1" t="s">
        <v>11000</v>
      </c>
      <c r="F1033" s="1" t="s">
        <v>6047</v>
      </c>
      <c r="G1033" t="s">
        <v>11001</v>
      </c>
      <c r="I1033" s="1"/>
      <c r="J1033" s="44"/>
      <c r="K1033" s="44" t="s">
        <v>5067</v>
      </c>
      <c r="L1033" s="1" t="s">
        <v>6101</v>
      </c>
      <c r="M1033" s="1" t="s">
        <v>6519</v>
      </c>
      <c r="N1033" s="1" t="s">
        <v>8112</v>
      </c>
    </row>
    <row r="1034" spans="1:14">
      <c r="A1034" s="1" t="s">
        <v>4476</v>
      </c>
      <c r="B1034" s="1" t="s">
        <v>4477</v>
      </c>
      <c r="C1034" s="1" t="s">
        <v>4478</v>
      </c>
      <c r="D1034" s="1" t="s">
        <v>4612</v>
      </c>
      <c r="E1034" s="1" t="s">
        <v>11002</v>
      </c>
      <c r="F1034" s="1" t="s">
        <v>1158</v>
      </c>
      <c r="G1034" t="s">
        <v>11003</v>
      </c>
      <c r="I1034" s="1"/>
      <c r="J1034" s="44"/>
      <c r="K1034" s="44" t="s">
        <v>5067</v>
      </c>
      <c r="L1034" s="1"/>
      <c r="M1034" s="1" t="s">
        <v>11004</v>
      </c>
      <c r="N1034" s="1" t="s">
        <v>8213</v>
      </c>
    </row>
    <row r="1035" spans="1:14">
      <c r="A1035" s="1" t="s">
        <v>4548</v>
      </c>
      <c r="B1035" s="1" t="s">
        <v>4549</v>
      </c>
      <c r="C1035" s="1" t="s">
        <v>4550</v>
      </c>
      <c r="D1035" s="1" t="s">
        <v>4616</v>
      </c>
      <c r="E1035" s="1" t="s">
        <v>8055</v>
      </c>
      <c r="F1035" s="1" t="s">
        <v>5997</v>
      </c>
      <c r="G1035" t="s">
        <v>8056</v>
      </c>
      <c r="I1035" s="1"/>
      <c r="J1035" s="44"/>
      <c r="K1035" s="44" t="s">
        <v>5132</v>
      </c>
      <c r="L1035" s="1" t="s">
        <v>11005</v>
      </c>
      <c r="M1035" s="1" t="s">
        <v>7671</v>
      </c>
      <c r="N1035" s="1" t="s">
        <v>8080</v>
      </c>
    </row>
    <row r="1036" spans="1:14">
      <c r="A1036" s="1" t="s">
        <v>4348</v>
      </c>
      <c r="B1036" s="1" t="s">
        <v>4349</v>
      </c>
      <c r="C1036" s="1" t="s">
        <v>4350</v>
      </c>
      <c r="D1036" s="1" t="s">
        <v>4619</v>
      </c>
      <c r="E1036" s="1" t="s">
        <v>11006</v>
      </c>
      <c r="F1036" s="1" t="s">
        <v>6001</v>
      </c>
      <c r="G1036" t="s">
        <v>11007</v>
      </c>
      <c r="I1036" s="1"/>
      <c r="J1036" s="44"/>
      <c r="K1036" s="44" t="s">
        <v>7137</v>
      </c>
      <c r="L1036" s="1" t="s">
        <v>11008</v>
      </c>
      <c r="M1036" s="1" t="s">
        <v>11009</v>
      </c>
      <c r="N1036" s="1" t="s">
        <v>8173</v>
      </c>
    </row>
    <row r="1037" spans="1:14">
      <c r="A1037" s="1" t="s">
        <v>4552</v>
      </c>
      <c r="B1037" s="1" t="s">
        <v>4553</v>
      </c>
      <c r="C1037" s="1" t="s">
        <v>4554</v>
      </c>
      <c r="D1037" s="1" t="s">
        <v>4623</v>
      </c>
      <c r="E1037" s="1" t="s">
        <v>11010</v>
      </c>
      <c r="F1037" s="1" t="s">
        <v>1928</v>
      </c>
      <c r="G1037" t="s">
        <v>11011</v>
      </c>
      <c r="I1037" s="1"/>
      <c r="J1037" s="44"/>
      <c r="K1037" s="44" t="s">
        <v>5003</v>
      </c>
      <c r="L1037" s="1"/>
      <c r="M1037" s="1" t="s">
        <v>11012</v>
      </c>
      <c r="N1037" s="1" t="s">
        <v>8152</v>
      </c>
    </row>
    <row r="1038" spans="1:14">
      <c r="A1038" s="1" t="s">
        <v>4688</v>
      </c>
      <c r="B1038" s="1" t="s">
        <v>4689</v>
      </c>
      <c r="C1038" s="1" t="s">
        <v>4690</v>
      </c>
      <c r="D1038" s="1" t="s">
        <v>4627</v>
      </c>
      <c r="E1038" s="1" t="s">
        <v>11013</v>
      </c>
      <c r="F1038" s="1" t="s">
        <v>2751</v>
      </c>
      <c r="G1038" t="s">
        <v>11014</v>
      </c>
      <c r="I1038" s="1"/>
      <c r="J1038" s="44" t="s">
        <v>6957</v>
      </c>
      <c r="K1038" s="44" t="s">
        <v>5001</v>
      </c>
      <c r="L1038" s="1" t="s">
        <v>7020</v>
      </c>
      <c r="M1038" s="1" t="s">
        <v>7555</v>
      </c>
      <c r="N1038" s="1" t="s">
        <v>8090</v>
      </c>
    </row>
    <row r="1039" spans="1:14">
      <c r="A1039" s="1" t="s">
        <v>4499</v>
      </c>
      <c r="B1039" s="1" t="s">
        <v>4500</v>
      </c>
      <c r="C1039" s="1" t="s">
        <v>4501</v>
      </c>
      <c r="D1039" s="1" t="s">
        <v>4631</v>
      </c>
      <c r="E1039" s="1" t="s">
        <v>11015</v>
      </c>
      <c r="F1039" s="1" t="s">
        <v>1709</v>
      </c>
      <c r="G1039" t="s">
        <v>11016</v>
      </c>
      <c r="I1039" s="1"/>
      <c r="J1039" s="44"/>
      <c r="K1039" s="44" t="s">
        <v>5062</v>
      </c>
      <c r="L1039" s="1" t="s">
        <v>11017</v>
      </c>
      <c r="M1039" s="1" t="s">
        <v>11018</v>
      </c>
      <c r="N1039" s="1" t="s">
        <v>8098</v>
      </c>
    </row>
    <row r="1040" spans="1:14">
      <c r="A1040" s="1" t="s">
        <v>4084</v>
      </c>
      <c r="B1040" s="1" t="s">
        <v>4085</v>
      </c>
      <c r="C1040" s="1" t="s">
        <v>4086</v>
      </c>
      <c r="D1040" s="1" t="s">
        <v>4636</v>
      </c>
      <c r="E1040" s="1" t="s">
        <v>11019</v>
      </c>
      <c r="F1040" s="1" t="s">
        <v>6003</v>
      </c>
      <c r="G1040" t="s">
        <v>11020</v>
      </c>
      <c r="I1040" s="1"/>
      <c r="J1040" s="44" t="s">
        <v>54</v>
      </c>
      <c r="K1040" s="44" t="s">
        <v>5067</v>
      </c>
      <c r="L1040" s="1" t="s">
        <v>5373</v>
      </c>
      <c r="M1040" s="1" t="s">
        <v>5833</v>
      </c>
      <c r="N1040" s="1" t="s">
        <v>8121</v>
      </c>
    </row>
    <row r="1041" spans="1:14">
      <c r="A1041" s="1" t="s">
        <v>4360</v>
      </c>
      <c r="B1041" s="1" t="s">
        <v>4361</v>
      </c>
      <c r="C1041" s="1" t="s">
        <v>4362</v>
      </c>
      <c r="D1041" s="1" t="s">
        <v>4640</v>
      </c>
      <c r="E1041" s="1" t="s">
        <v>11021</v>
      </c>
      <c r="F1041" s="1" t="s">
        <v>2152</v>
      </c>
      <c r="G1041" t="s">
        <v>11022</v>
      </c>
      <c r="I1041" s="1"/>
      <c r="J1041" s="44" t="s">
        <v>5520</v>
      </c>
      <c r="K1041" s="44" t="s">
        <v>5067</v>
      </c>
      <c r="L1041" s="1" t="s">
        <v>6319</v>
      </c>
      <c r="M1041" s="1" t="s">
        <v>6675</v>
      </c>
      <c r="N1041" s="1" t="s">
        <v>8396</v>
      </c>
    </row>
    <row r="1042" spans="1:14">
      <c r="A1042" s="1" t="s">
        <v>4312</v>
      </c>
      <c r="B1042" s="1" t="s">
        <v>4313</v>
      </c>
      <c r="C1042" s="1" t="s">
        <v>4314</v>
      </c>
      <c r="D1042" s="1" t="s">
        <v>4644</v>
      </c>
      <c r="E1042" s="1" t="s">
        <v>11023</v>
      </c>
      <c r="F1042" s="1" t="s">
        <v>6008</v>
      </c>
      <c r="G1042" t="s">
        <v>11024</v>
      </c>
      <c r="I1042" s="1"/>
      <c r="J1042" s="44"/>
      <c r="K1042" s="44" t="s">
        <v>5088</v>
      </c>
      <c r="L1042" s="1" t="s">
        <v>5128</v>
      </c>
      <c r="M1042" s="1" t="s">
        <v>7270</v>
      </c>
      <c r="N1042" s="1" t="s">
        <v>8171</v>
      </c>
    </row>
    <row r="1043" spans="1:14">
      <c r="A1043" s="1" t="s">
        <v>4102</v>
      </c>
      <c r="B1043" s="1" t="s">
        <v>4103</v>
      </c>
      <c r="C1043" s="1" t="s">
        <v>4104</v>
      </c>
      <c r="D1043" s="1" t="s">
        <v>4648</v>
      </c>
      <c r="E1043" s="1" t="s">
        <v>11025</v>
      </c>
      <c r="F1043" s="1" t="s">
        <v>3163</v>
      </c>
      <c r="G1043" t="s">
        <v>11026</v>
      </c>
      <c r="I1043" s="1"/>
      <c r="J1043" s="44"/>
      <c r="K1043" s="44" t="s">
        <v>5067</v>
      </c>
      <c r="L1043" s="1" t="s">
        <v>5758</v>
      </c>
      <c r="M1043" s="1" t="s">
        <v>11027</v>
      </c>
      <c r="N1043" s="1" t="s">
        <v>8121</v>
      </c>
    </row>
    <row r="1044" spans="1:14">
      <c r="A1044" s="1" t="s">
        <v>4480</v>
      </c>
      <c r="B1044" s="1" t="s">
        <v>4481</v>
      </c>
      <c r="C1044" s="1" t="s">
        <v>4482</v>
      </c>
      <c r="D1044" s="1" t="s">
        <v>4652</v>
      </c>
      <c r="E1044" s="1" t="s">
        <v>11028</v>
      </c>
      <c r="F1044" s="1" t="s">
        <v>5749</v>
      </c>
      <c r="G1044" t="s">
        <v>11029</v>
      </c>
      <c r="I1044" s="1"/>
      <c r="J1044" s="44" t="s">
        <v>11030</v>
      </c>
      <c r="K1044" s="44" t="s">
        <v>7054</v>
      </c>
      <c r="L1044" s="1" t="s">
        <v>7882</v>
      </c>
      <c r="M1044" s="1" t="s">
        <v>6016</v>
      </c>
      <c r="N1044" s="1" t="s">
        <v>8396</v>
      </c>
    </row>
    <row r="1045" spans="1:14">
      <c r="A1045" s="1" t="s">
        <v>4455</v>
      </c>
      <c r="B1045" s="1" t="s">
        <v>4456</v>
      </c>
      <c r="C1045" s="1" t="s">
        <v>4457</v>
      </c>
      <c r="D1045" s="1" t="s">
        <v>4656</v>
      </c>
      <c r="E1045" s="1" t="s">
        <v>9978</v>
      </c>
      <c r="F1045" s="1" t="s">
        <v>1709</v>
      </c>
      <c r="G1045" t="s">
        <v>11031</v>
      </c>
      <c r="I1045" s="1"/>
      <c r="J1045" s="44" t="s">
        <v>4459</v>
      </c>
      <c r="K1045" s="44" t="s">
        <v>5067</v>
      </c>
      <c r="L1045" s="1" t="s">
        <v>10885</v>
      </c>
      <c r="M1045" s="1" t="s">
        <v>11032</v>
      </c>
      <c r="N1045" s="1" t="s">
        <v>8098</v>
      </c>
    </row>
    <row r="1046" spans="1:14">
      <c r="A1046" s="1" t="s">
        <v>4295</v>
      </c>
      <c r="B1046" s="1" t="s">
        <v>4296</v>
      </c>
      <c r="C1046" s="1" t="s">
        <v>4297</v>
      </c>
      <c r="D1046" s="1" t="s">
        <v>4661</v>
      </c>
      <c r="E1046" s="1" t="s">
        <v>10523</v>
      </c>
      <c r="F1046" s="1" t="s">
        <v>5749</v>
      </c>
      <c r="G1046" t="s">
        <v>11033</v>
      </c>
      <c r="I1046" s="1"/>
      <c r="J1046" s="44"/>
      <c r="K1046" s="44" t="s">
        <v>5001</v>
      </c>
      <c r="L1046" s="1" t="s">
        <v>5791</v>
      </c>
      <c r="M1046" s="1" t="s">
        <v>5832</v>
      </c>
      <c r="N1046" s="1" t="s">
        <v>8090</v>
      </c>
    </row>
    <row r="1047" spans="1:14">
      <c r="A1047" s="1" t="s">
        <v>4328</v>
      </c>
      <c r="B1047" s="1" t="s">
        <v>4329</v>
      </c>
      <c r="C1047" s="1" t="s">
        <v>4329</v>
      </c>
      <c r="D1047" s="1" t="s">
        <v>4662</v>
      </c>
      <c r="E1047" s="1" t="s">
        <v>11034</v>
      </c>
      <c r="F1047" s="1" t="s">
        <v>2220</v>
      </c>
      <c r="G1047" t="s">
        <v>11035</v>
      </c>
      <c r="I1047" s="1"/>
      <c r="J1047" s="44"/>
      <c r="K1047" s="44" t="s">
        <v>5946</v>
      </c>
      <c r="L1047" s="1" t="s">
        <v>7940</v>
      </c>
      <c r="M1047" s="1" t="s">
        <v>7538</v>
      </c>
      <c r="N1047" s="1" t="s">
        <v>8162</v>
      </c>
    </row>
    <row r="1048" spans="1:14">
      <c r="A1048" s="1" t="s">
        <v>4564</v>
      </c>
      <c r="B1048" s="1" t="s">
        <v>4565</v>
      </c>
      <c r="C1048" s="1" t="s">
        <v>4566</v>
      </c>
      <c r="D1048" s="1" t="s">
        <v>4666</v>
      </c>
      <c r="E1048" s="1" t="s">
        <v>9705</v>
      </c>
      <c r="F1048" s="1" t="s">
        <v>1158</v>
      </c>
      <c r="G1048" t="s">
        <v>11036</v>
      </c>
      <c r="I1048" s="1"/>
      <c r="J1048" s="44"/>
      <c r="K1048" s="44" t="s">
        <v>5067</v>
      </c>
      <c r="L1048" s="1" t="s">
        <v>5791</v>
      </c>
      <c r="M1048" s="1" t="s">
        <v>6594</v>
      </c>
      <c r="N1048" s="1" t="s">
        <v>8080</v>
      </c>
    </row>
    <row r="1049" spans="1:14">
      <c r="A1049" s="1" t="s">
        <v>1076</v>
      </c>
      <c r="B1049" s="1" t="s">
        <v>1077</v>
      </c>
      <c r="C1049" s="1" t="s">
        <v>1078</v>
      </c>
      <c r="D1049" s="1" t="s">
        <v>4670</v>
      </c>
      <c r="E1049" s="1" t="s">
        <v>11037</v>
      </c>
      <c r="F1049" s="1" t="s">
        <v>11038</v>
      </c>
      <c r="G1049" t="s">
        <v>11039</v>
      </c>
      <c r="I1049" s="1"/>
      <c r="J1049" s="44" t="s">
        <v>1080</v>
      </c>
      <c r="K1049" s="44" t="s">
        <v>5373</v>
      </c>
      <c r="L1049" s="1" t="s">
        <v>11040</v>
      </c>
      <c r="M1049" s="1" t="s">
        <v>11041</v>
      </c>
      <c r="N1049" s="1" t="s">
        <v>8162</v>
      </c>
    </row>
    <row r="1050" spans="1:14">
      <c r="A1050" s="1" t="s">
        <v>4316</v>
      </c>
      <c r="B1050" s="1" t="s">
        <v>4317</v>
      </c>
      <c r="C1050" s="1" t="s">
        <v>4318</v>
      </c>
      <c r="D1050" s="1" t="s">
        <v>4674</v>
      </c>
      <c r="E1050" s="1" t="s">
        <v>11042</v>
      </c>
      <c r="F1050" s="1" t="s">
        <v>6555</v>
      </c>
      <c r="G1050" t="s">
        <v>11043</v>
      </c>
      <c r="I1050" s="1"/>
      <c r="J1050" s="44" t="s">
        <v>6958</v>
      </c>
      <c r="K1050" s="44" t="s">
        <v>7525</v>
      </c>
      <c r="L1050" s="1" t="s">
        <v>8058</v>
      </c>
      <c r="M1050" s="1" t="s">
        <v>11044</v>
      </c>
      <c r="N1050" s="1" t="s">
        <v>8102</v>
      </c>
    </row>
    <row r="1051" spans="1:14">
      <c r="A1051" s="1" t="s">
        <v>4468</v>
      </c>
      <c r="B1051" s="1" t="s">
        <v>4469</v>
      </c>
      <c r="C1051" s="1" t="s">
        <v>4470</v>
      </c>
      <c r="D1051" s="1" t="s">
        <v>4678</v>
      </c>
      <c r="E1051" s="1" t="s">
        <v>9988</v>
      </c>
      <c r="F1051" s="1" t="s">
        <v>1312</v>
      </c>
      <c r="G1051" t="s">
        <v>11045</v>
      </c>
      <c r="I1051" s="1"/>
      <c r="J1051" s="44"/>
      <c r="K1051" s="44" t="s">
        <v>11046</v>
      </c>
      <c r="L1051" s="1" t="s">
        <v>7443</v>
      </c>
      <c r="M1051" s="1" t="s">
        <v>11047</v>
      </c>
      <c r="N1051" s="1" t="s">
        <v>8085</v>
      </c>
    </row>
    <row r="1052" spans="1:14">
      <c r="A1052" s="1" t="s">
        <v>4364</v>
      </c>
      <c r="B1052" s="1" t="s">
        <v>4365</v>
      </c>
      <c r="C1052" s="1" t="s">
        <v>4366</v>
      </c>
      <c r="D1052" s="1" t="s">
        <v>4683</v>
      </c>
      <c r="E1052" s="1" t="s">
        <v>11048</v>
      </c>
      <c r="F1052" s="1" t="s">
        <v>6631</v>
      </c>
      <c r="G1052" t="s">
        <v>11049</v>
      </c>
      <c r="I1052" s="1"/>
      <c r="J1052" s="44"/>
      <c r="K1052" s="44" t="s">
        <v>5067</v>
      </c>
      <c r="L1052" s="1" t="s">
        <v>6205</v>
      </c>
      <c r="M1052" s="1" t="s">
        <v>7889</v>
      </c>
      <c r="N1052" s="1" t="s">
        <v>8162</v>
      </c>
    </row>
    <row r="1053" spans="1:14">
      <c r="A1053" s="1" t="s">
        <v>4136</v>
      </c>
      <c r="B1053" s="1" t="s">
        <v>4137</v>
      </c>
      <c r="C1053" s="1" t="s">
        <v>4138</v>
      </c>
      <c r="D1053" s="1" t="s">
        <v>4687</v>
      </c>
      <c r="E1053" s="1" t="s">
        <v>11050</v>
      </c>
      <c r="F1053" s="1" t="s">
        <v>5385</v>
      </c>
      <c r="G1053" t="s">
        <v>11051</v>
      </c>
      <c r="I1053" s="1"/>
      <c r="J1053" s="44"/>
      <c r="K1053" s="44" t="s">
        <v>5001</v>
      </c>
      <c r="L1053" s="1" t="s">
        <v>5646</v>
      </c>
      <c r="M1053" s="1" t="s">
        <v>6635</v>
      </c>
      <c r="N1053" s="1" t="s">
        <v>8102</v>
      </c>
    </row>
    <row r="1054" spans="1:14">
      <c r="A1054" s="1" t="s">
        <v>4519</v>
      </c>
      <c r="B1054" s="1" t="s">
        <v>4520</v>
      </c>
      <c r="C1054" s="1" t="s">
        <v>4521</v>
      </c>
      <c r="D1054" s="1" t="s">
        <v>4691</v>
      </c>
      <c r="E1054" s="1" t="s">
        <v>11052</v>
      </c>
      <c r="F1054" s="1" t="s">
        <v>4632</v>
      </c>
      <c r="G1054" t="s">
        <v>11053</v>
      </c>
      <c r="I1054" s="1"/>
      <c r="J1054" s="44"/>
      <c r="K1054" s="44" t="s">
        <v>5780</v>
      </c>
      <c r="L1054" s="1" t="s">
        <v>11054</v>
      </c>
      <c r="M1054" s="1" t="s">
        <v>7783</v>
      </c>
      <c r="N1054" s="1" t="s">
        <v>8396</v>
      </c>
    </row>
    <row r="1055" spans="1:14">
      <c r="A1055" s="1" t="s">
        <v>4845</v>
      </c>
      <c r="B1055" s="1" t="s">
        <v>4846</v>
      </c>
      <c r="C1055" s="1" t="s">
        <v>4847</v>
      </c>
      <c r="D1055" s="1" t="s">
        <v>4695</v>
      </c>
      <c r="E1055" s="1" t="s">
        <v>11055</v>
      </c>
      <c r="F1055" s="1" t="s">
        <v>6766</v>
      </c>
      <c r="G1055" t="s">
        <v>11056</v>
      </c>
      <c r="I1055" s="1"/>
      <c r="J1055" s="44" t="s">
        <v>4849</v>
      </c>
      <c r="K1055" s="44" t="s">
        <v>6191</v>
      </c>
      <c r="L1055" s="1" t="s">
        <v>11057</v>
      </c>
      <c r="M1055" s="1"/>
      <c r="N1055" s="1" t="s">
        <v>8186</v>
      </c>
    </row>
    <row r="1056" spans="1:14">
      <c r="A1056" s="1" t="s">
        <v>4796</v>
      </c>
      <c r="B1056" s="1" t="s">
        <v>4797</v>
      </c>
      <c r="C1056" s="1" t="s">
        <v>4798</v>
      </c>
      <c r="D1056" s="1" t="s">
        <v>4699</v>
      </c>
      <c r="E1056" s="1" t="s">
        <v>11058</v>
      </c>
      <c r="F1056" s="1" t="s">
        <v>5505</v>
      </c>
      <c r="G1056" t="s">
        <v>11059</v>
      </c>
      <c r="I1056" s="1"/>
      <c r="J1056" s="44" t="s">
        <v>4800</v>
      </c>
      <c r="K1056" s="44" t="s">
        <v>5067</v>
      </c>
      <c r="L1056" s="1" t="s">
        <v>5791</v>
      </c>
      <c r="M1056" s="1"/>
      <c r="N1056" s="1" t="s">
        <v>8137</v>
      </c>
    </row>
    <row r="1057" spans="1:14">
      <c r="A1057" s="1" t="s">
        <v>4510</v>
      </c>
      <c r="B1057" s="1" t="s">
        <v>4511</v>
      </c>
      <c r="C1057" s="1" t="s">
        <v>4512</v>
      </c>
      <c r="D1057" s="1" t="s">
        <v>4703</v>
      </c>
      <c r="E1057" s="1" t="s">
        <v>11060</v>
      </c>
      <c r="F1057" s="1" t="s">
        <v>2203</v>
      </c>
      <c r="G1057" t="s">
        <v>11061</v>
      </c>
      <c r="I1057" s="1"/>
      <c r="J1057" s="44"/>
      <c r="K1057" s="44" t="s">
        <v>5067</v>
      </c>
      <c r="L1057" s="1" t="s">
        <v>6973</v>
      </c>
      <c r="M1057" s="1" t="s">
        <v>5562</v>
      </c>
      <c r="N1057" s="1" t="s">
        <v>8396</v>
      </c>
    </row>
    <row r="1058" spans="1:14">
      <c r="A1058" s="1" t="s">
        <v>4746</v>
      </c>
      <c r="B1058" s="1" t="s">
        <v>4747</v>
      </c>
      <c r="C1058" s="1" t="s">
        <v>4748</v>
      </c>
      <c r="D1058" s="1" t="s">
        <v>4707</v>
      </c>
      <c r="E1058" s="1" t="s">
        <v>10661</v>
      </c>
      <c r="F1058" s="1" t="s">
        <v>2868</v>
      </c>
      <c r="G1058" t="s">
        <v>11062</v>
      </c>
      <c r="I1058" s="1"/>
      <c r="J1058" s="44" t="s">
        <v>4750</v>
      </c>
      <c r="K1058" s="44" t="s">
        <v>5001</v>
      </c>
      <c r="L1058" s="1" t="s">
        <v>7460</v>
      </c>
      <c r="M1058" s="1" t="s">
        <v>7802</v>
      </c>
      <c r="N1058" s="1" t="s">
        <v>8065</v>
      </c>
    </row>
    <row r="1059" spans="1:14">
      <c r="A1059" s="1" t="s">
        <v>4649</v>
      </c>
      <c r="B1059" s="1" t="s">
        <v>4650</v>
      </c>
      <c r="C1059" s="1" t="s">
        <v>4651</v>
      </c>
      <c r="D1059" s="1" t="s">
        <v>4712</v>
      </c>
      <c r="E1059" s="1" t="s">
        <v>9705</v>
      </c>
      <c r="F1059" s="1" t="s">
        <v>1158</v>
      </c>
      <c r="G1059" t="s">
        <v>11063</v>
      </c>
      <c r="I1059" s="1"/>
      <c r="J1059" s="44" t="s">
        <v>5119</v>
      </c>
      <c r="K1059" s="44" t="s">
        <v>5067</v>
      </c>
      <c r="L1059" s="1" t="s">
        <v>10885</v>
      </c>
      <c r="M1059" s="1" t="s">
        <v>8059</v>
      </c>
      <c r="N1059" s="1" t="s">
        <v>8213</v>
      </c>
    </row>
    <row r="1060" spans="1:14">
      <c r="A1060" s="1" t="s">
        <v>4633</v>
      </c>
      <c r="B1060" s="1" t="s">
        <v>4634</v>
      </c>
      <c r="C1060" s="1" t="s">
        <v>4635</v>
      </c>
      <c r="D1060" s="1" t="s">
        <v>4716</v>
      </c>
      <c r="E1060" s="1" t="s">
        <v>11064</v>
      </c>
      <c r="F1060" s="1" t="s">
        <v>1997</v>
      </c>
      <c r="G1060" t="s">
        <v>11065</v>
      </c>
      <c r="I1060" s="1"/>
      <c r="J1060" s="44"/>
      <c r="K1060" s="44" t="s">
        <v>5067</v>
      </c>
      <c r="L1060" s="1" t="s">
        <v>5064</v>
      </c>
      <c r="M1060" s="1" t="s">
        <v>7906</v>
      </c>
      <c r="N1060" s="1" t="s">
        <v>8173</v>
      </c>
    </row>
    <row r="1061" spans="1:14">
      <c r="A1061" s="1" t="s">
        <v>4617</v>
      </c>
      <c r="B1061" s="1" t="s">
        <v>4618</v>
      </c>
      <c r="C1061" s="1" t="s">
        <v>4618</v>
      </c>
      <c r="D1061" s="1" t="s">
        <v>4720</v>
      </c>
      <c r="E1061" s="1" t="s">
        <v>10489</v>
      </c>
      <c r="F1061" s="1" t="s">
        <v>5501</v>
      </c>
      <c r="G1061" t="s">
        <v>11066</v>
      </c>
      <c r="I1061" s="1"/>
      <c r="J1061" s="44"/>
      <c r="K1061" s="44" t="s">
        <v>5067</v>
      </c>
      <c r="L1061" s="1"/>
      <c r="M1061" s="1" t="s">
        <v>7248</v>
      </c>
      <c r="N1061" s="1" t="s">
        <v>8070</v>
      </c>
    </row>
    <row r="1062" spans="1:14">
      <c r="A1062" s="1" t="s">
        <v>4700</v>
      </c>
      <c r="B1062" s="1" t="s">
        <v>4701</v>
      </c>
      <c r="C1062" s="1" t="s">
        <v>4702</v>
      </c>
      <c r="D1062" s="1" t="s">
        <v>4724</v>
      </c>
      <c r="E1062" s="1" t="s">
        <v>11067</v>
      </c>
      <c r="F1062" s="1" t="s">
        <v>6423</v>
      </c>
      <c r="G1062" t="s">
        <v>11068</v>
      </c>
      <c r="I1062" s="1"/>
      <c r="J1062" s="44"/>
      <c r="K1062" s="44" t="s">
        <v>5067</v>
      </c>
      <c r="L1062" s="1" t="s">
        <v>5791</v>
      </c>
      <c r="M1062" s="1" t="s">
        <v>7003</v>
      </c>
      <c r="N1062" s="1" t="s">
        <v>8396</v>
      </c>
    </row>
    <row r="1063" spans="1:14">
      <c r="A1063" s="1" t="s">
        <v>4271</v>
      </c>
      <c r="B1063" s="1" t="s">
        <v>4272</v>
      </c>
      <c r="C1063" s="1" t="s">
        <v>3949</v>
      </c>
      <c r="D1063" s="1" t="s">
        <v>4728</v>
      </c>
      <c r="E1063" s="1" t="s">
        <v>11069</v>
      </c>
      <c r="F1063" s="1" t="s">
        <v>6424</v>
      </c>
      <c r="G1063" t="s">
        <v>11070</v>
      </c>
      <c r="I1063" s="1"/>
      <c r="J1063" s="44" t="s">
        <v>921</v>
      </c>
      <c r="K1063" s="44" t="s">
        <v>5067</v>
      </c>
      <c r="L1063" s="1" t="s">
        <v>6641</v>
      </c>
      <c r="M1063" s="1" t="s">
        <v>7225</v>
      </c>
      <c r="N1063" s="1" t="s">
        <v>8137</v>
      </c>
    </row>
    <row r="1064" spans="1:14">
      <c r="A1064" s="1" t="s">
        <v>4514</v>
      </c>
      <c r="B1064" s="1" t="s">
        <v>4515</v>
      </c>
      <c r="C1064" s="1" t="s">
        <v>4516</v>
      </c>
      <c r="D1064" s="1" t="s">
        <v>4733</v>
      </c>
      <c r="E1064" s="1" t="s">
        <v>11071</v>
      </c>
      <c r="F1064" s="1" t="s">
        <v>6005</v>
      </c>
      <c r="G1064" t="s">
        <v>11072</v>
      </c>
      <c r="I1064" s="1"/>
      <c r="J1064" s="44" t="s">
        <v>4518</v>
      </c>
      <c r="K1064" s="44" t="s">
        <v>5001</v>
      </c>
      <c r="L1064" s="1" t="s">
        <v>7421</v>
      </c>
      <c r="M1064" s="1" t="s">
        <v>7362</v>
      </c>
      <c r="N1064" s="1" t="s">
        <v>8162</v>
      </c>
    </row>
    <row r="1065" spans="1:14">
      <c r="A1065" s="1" t="s">
        <v>4443</v>
      </c>
      <c r="B1065" s="1" t="s">
        <v>4444</v>
      </c>
      <c r="C1065" s="1" t="s">
        <v>4445</v>
      </c>
      <c r="D1065" s="1" t="s">
        <v>4737</v>
      </c>
      <c r="E1065" s="1" t="s">
        <v>9817</v>
      </c>
      <c r="F1065" s="1" t="s">
        <v>754</v>
      </c>
      <c r="G1065" t="s">
        <v>11073</v>
      </c>
      <c r="I1065" s="1"/>
      <c r="J1065" s="44"/>
      <c r="K1065" s="44" t="s">
        <v>5001</v>
      </c>
      <c r="L1065" s="1" t="s">
        <v>7847</v>
      </c>
      <c r="M1065" s="1" t="s">
        <v>7496</v>
      </c>
      <c r="N1065" s="1" t="s">
        <v>8065</v>
      </c>
    </row>
    <row r="1066" spans="1:14">
      <c r="A1066" s="1" t="s">
        <v>4692</v>
      </c>
      <c r="B1066" s="1" t="s">
        <v>4693</v>
      </c>
      <c r="C1066" s="1" t="s">
        <v>4694</v>
      </c>
      <c r="D1066" s="1" t="s">
        <v>4741</v>
      </c>
      <c r="E1066" s="1" t="s">
        <v>11074</v>
      </c>
      <c r="F1066" s="1" t="s">
        <v>2203</v>
      </c>
      <c r="G1066" t="s">
        <v>11075</v>
      </c>
      <c r="I1066" s="1"/>
      <c r="J1066" s="44"/>
      <c r="K1066" s="44" t="s">
        <v>5769</v>
      </c>
      <c r="L1066" s="1" t="s">
        <v>7360</v>
      </c>
      <c r="M1066" s="1" t="s">
        <v>11076</v>
      </c>
      <c r="N1066" s="1" t="s">
        <v>8112</v>
      </c>
    </row>
    <row r="1067" spans="1:14">
      <c r="A1067" s="1" t="s">
        <v>4536</v>
      </c>
      <c r="B1067" s="1" t="s">
        <v>4537</v>
      </c>
      <c r="C1067" s="1" t="s">
        <v>4538</v>
      </c>
      <c r="D1067" s="1" t="s">
        <v>4745</v>
      </c>
      <c r="E1067" s="1" t="s">
        <v>11077</v>
      </c>
      <c r="F1067" s="1" t="s">
        <v>7738</v>
      </c>
      <c r="G1067" t="s">
        <v>11078</v>
      </c>
      <c r="I1067" s="1"/>
      <c r="J1067" s="44"/>
      <c r="K1067" s="44" t="s">
        <v>6233</v>
      </c>
      <c r="L1067" s="1" t="s">
        <v>5755</v>
      </c>
      <c r="M1067" s="1" t="s">
        <v>6675</v>
      </c>
      <c r="N1067" s="1" t="s">
        <v>8090</v>
      </c>
    </row>
    <row r="1068" spans="1:14">
      <c r="A1068" s="1" t="s">
        <v>4586</v>
      </c>
      <c r="B1068" s="1" t="s">
        <v>4587</v>
      </c>
      <c r="C1068" s="1" t="s">
        <v>4588</v>
      </c>
      <c r="D1068" s="1" t="s">
        <v>4749</v>
      </c>
      <c r="E1068" s="1" t="s">
        <v>11079</v>
      </c>
      <c r="F1068" s="1" t="s">
        <v>6425</v>
      </c>
      <c r="G1068" t="s">
        <v>11080</v>
      </c>
      <c r="I1068" s="1"/>
      <c r="J1068" s="44" t="s">
        <v>1103</v>
      </c>
      <c r="K1068" s="44" t="s">
        <v>5067</v>
      </c>
      <c r="L1068" s="1" t="s">
        <v>7052</v>
      </c>
      <c r="M1068" s="1" t="s">
        <v>11081</v>
      </c>
      <c r="N1068" s="1" t="s">
        <v>8173</v>
      </c>
    </row>
    <row r="1069" spans="1:14">
      <c r="A1069" s="1" t="s">
        <v>4149</v>
      </c>
      <c r="B1069" s="1" t="s">
        <v>4150</v>
      </c>
      <c r="C1069" s="1" t="s">
        <v>4151</v>
      </c>
      <c r="D1069" s="1" t="s">
        <v>4754</v>
      </c>
      <c r="E1069" s="1" t="s">
        <v>11082</v>
      </c>
      <c r="F1069" s="1" t="s">
        <v>7283</v>
      </c>
      <c r="G1069" t="s">
        <v>11083</v>
      </c>
      <c r="I1069" s="1"/>
      <c r="J1069" s="44" t="s">
        <v>11084</v>
      </c>
      <c r="K1069" s="44" t="s">
        <v>5062</v>
      </c>
      <c r="L1069" s="1" t="s">
        <v>7317</v>
      </c>
      <c r="M1069" s="1" t="s">
        <v>11085</v>
      </c>
      <c r="N1069" s="1" t="s">
        <v>8065</v>
      </c>
    </row>
    <row r="1070" spans="1:14">
      <c r="A1070" s="1" t="s">
        <v>4430</v>
      </c>
      <c r="B1070" s="1" t="s">
        <v>4431</v>
      </c>
      <c r="C1070" s="1" t="s">
        <v>4432</v>
      </c>
      <c r="D1070" s="1" t="s">
        <v>4758</v>
      </c>
      <c r="E1070" s="1" t="s">
        <v>11086</v>
      </c>
      <c r="F1070" s="1" t="s">
        <v>2591</v>
      </c>
      <c r="G1070" t="s">
        <v>11087</v>
      </c>
      <c r="I1070" s="1"/>
      <c r="J1070" s="44"/>
      <c r="K1070" s="44" t="s">
        <v>5067</v>
      </c>
      <c r="L1070" s="1" t="s">
        <v>7795</v>
      </c>
      <c r="M1070" s="1" t="s">
        <v>7031</v>
      </c>
      <c r="N1070" s="1" t="s">
        <v>8107</v>
      </c>
    </row>
    <row r="1071" spans="1:14">
      <c r="A1071" s="1" t="s">
        <v>4696</v>
      </c>
      <c r="B1071" s="1" t="s">
        <v>4697</v>
      </c>
      <c r="C1071" s="1" t="s">
        <v>4698</v>
      </c>
      <c r="D1071" s="1" t="s">
        <v>4762</v>
      </c>
      <c r="E1071" s="1" t="s">
        <v>11088</v>
      </c>
      <c r="F1071" s="1" t="s">
        <v>6006</v>
      </c>
      <c r="G1071" t="s">
        <v>11089</v>
      </c>
      <c r="I1071" s="1"/>
      <c r="J1071" s="44"/>
      <c r="K1071" s="44" t="s">
        <v>5067</v>
      </c>
      <c r="L1071" s="1" t="s">
        <v>7265</v>
      </c>
      <c r="M1071" s="1" t="s">
        <v>7572</v>
      </c>
      <c r="N1071" s="1" t="s">
        <v>8483</v>
      </c>
    </row>
    <row r="1072" spans="1:14">
      <c r="A1072" s="1" t="s">
        <v>4751</v>
      </c>
      <c r="B1072" s="1" t="s">
        <v>4752</v>
      </c>
      <c r="C1072" s="1" t="s">
        <v>4753</v>
      </c>
      <c r="D1072" s="1" t="s">
        <v>4765</v>
      </c>
      <c r="E1072" s="1" t="s">
        <v>11090</v>
      </c>
      <c r="F1072" s="1" t="s">
        <v>5341</v>
      </c>
      <c r="G1072" t="s">
        <v>11091</v>
      </c>
      <c r="I1072" s="1"/>
      <c r="J1072" s="44"/>
      <c r="K1072" s="44" t="s">
        <v>5067</v>
      </c>
      <c r="L1072" s="1" t="s">
        <v>6591</v>
      </c>
      <c r="M1072" s="1" t="s">
        <v>6572</v>
      </c>
      <c r="N1072" s="1" t="s">
        <v>8133</v>
      </c>
    </row>
    <row r="1073" spans="1:14">
      <c r="A1073" s="1" t="s">
        <v>4831</v>
      </c>
      <c r="B1073" s="1" t="s">
        <v>4832</v>
      </c>
      <c r="C1073" s="1" t="s">
        <v>4833</v>
      </c>
      <c r="D1073" s="1" t="s">
        <v>4769</v>
      </c>
      <c r="E1073" s="1" t="s">
        <v>11092</v>
      </c>
      <c r="F1073" s="1" t="s">
        <v>6426</v>
      </c>
      <c r="G1073" t="s">
        <v>11093</v>
      </c>
      <c r="I1073" s="1"/>
      <c r="J1073" s="44"/>
      <c r="K1073" s="44" t="s">
        <v>5001</v>
      </c>
      <c r="L1073" s="1" t="s">
        <v>7540</v>
      </c>
      <c r="M1073" s="1"/>
      <c r="N1073" s="1" t="s">
        <v>8107</v>
      </c>
    </row>
    <row r="1074" spans="1:14">
      <c r="A1074" s="1" t="s">
        <v>4401</v>
      </c>
      <c r="B1074" s="1" t="s">
        <v>4402</v>
      </c>
      <c r="C1074" s="1" t="s">
        <v>4403</v>
      </c>
      <c r="D1074" s="1" t="s">
        <v>4773</v>
      </c>
      <c r="E1074" s="1" t="s">
        <v>11094</v>
      </c>
      <c r="F1074" s="1" t="s">
        <v>5696</v>
      </c>
      <c r="G1074" t="s">
        <v>11095</v>
      </c>
      <c r="I1074" s="1"/>
      <c r="J1074" s="44"/>
      <c r="K1074" s="44" t="s">
        <v>5399</v>
      </c>
      <c r="L1074" s="1" t="s">
        <v>11096</v>
      </c>
      <c r="M1074" s="1" t="s">
        <v>11097</v>
      </c>
      <c r="N1074" s="1" t="s">
        <v>8213</v>
      </c>
    </row>
    <row r="1075" spans="1:14">
      <c r="A1075" s="1" t="s">
        <v>4605</v>
      </c>
      <c r="B1075" s="1" t="s">
        <v>4606</v>
      </c>
      <c r="C1075" s="1" t="s">
        <v>4607</v>
      </c>
      <c r="D1075" s="1" t="s">
        <v>4777</v>
      </c>
      <c r="E1075" s="1" t="s">
        <v>11098</v>
      </c>
      <c r="F1075" s="1" t="s">
        <v>5306</v>
      </c>
      <c r="G1075" t="s">
        <v>11099</v>
      </c>
      <c r="I1075" s="1"/>
      <c r="J1075" s="44"/>
      <c r="K1075" s="44" t="s">
        <v>5067</v>
      </c>
      <c r="L1075" s="1" t="s">
        <v>7728</v>
      </c>
      <c r="M1075" s="1" t="s">
        <v>7908</v>
      </c>
      <c r="N1075" s="1" t="s">
        <v>8162</v>
      </c>
    </row>
    <row r="1076" spans="1:14">
      <c r="A1076" s="1" t="s">
        <v>4472</v>
      </c>
      <c r="B1076" s="1" t="s">
        <v>4473</v>
      </c>
      <c r="C1076" s="1" t="s">
        <v>4474</v>
      </c>
      <c r="D1076" s="1" t="s">
        <v>4781</v>
      </c>
      <c r="E1076" s="1" t="s">
        <v>7494</v>
      </c>
      <c r="F1076" s="1" t="s">
        <v>6719</v>
      </c>
      <c r="G1076" t="s">
        <v>7495</v>
      </c>
      <c r="I1076" s="1"/>
      <c r="J1076" s="44"/>
      <c r="K1076" s="44" t="s">
        <v>5844</v>
      </c>
      <c r="L1076" s="1" t="s">
        <v>7784</v>
      </c>
      <c r="M1076" s="1" t="s">
        <v>6893</v>
      </c>
      <c r="N1076" s="1" t="s">
        <v>8186</v>
      </c>
    </row>
    <row r="1077" spans="1:14">
      <c r="A1077" s="1" t="s">
        <v>4613</v>
      </c>
      <c r="B1077" s="1" t="s">
        <v>4614</v>
      </c>
      <c r="C1077" s="1" t="s">
        <v>4615</v>
      </c>
      <c r="D1077" s="1" t="s">
        <v>4785</v>
      </c>
      <c r="E1077" s="1" t="s">
        <v>9817</v>
      </c>
      <c r="F1077" s="1" t="s">
        <v>754</v>
      </c>
      <c r="G1077" t="s">
        <v>11100</v>
      </c>
      <c r="I1077" s="1"/>
      <c r="J1077" s="44"/>
      <c r="K1077" s="44"/>
      <c r="L1077" s="1" t="s">
        <v>7038</v>
      </c>
      <c r="M1077" s="1" t="s">
        <v>7658</v>
      </c>
      <c r="N1077" s="1" t="s">
        <v>8133</v>
      </c>
    </row>
    <row r="1078" spans="1:14">
      <c r="A1078" s="1" t="s">
        <v>4609</v>
      </c>
      <c r="B1078" s="1" t="s">
        <v>4610</v>
      </c>
      <c r="C1078" s="1" t="s">
        <v>4611</v>
      </c>
      <c r="D1078" s="1" t="s">
        <v>4786</v>
      </c>
      <c r="E1078" s="1" t="s">
        <v>10582</v>
      </c>
      <c r="F1078" s="1" t="s">
        <v>5388</v>
      </c>
      <c r="G1078" t="s">
        <v>10059</v>
      </c>
      <c r="I1078" s="1"/>
      <c r="J1078" s="44" t="s">
        <v>4973</v>
      </c>
      <c r="K1078" s="44" t="s">
        <v>5001</v>
      </c>
      <c r="L1078" s="1" t="s">
        <v>5858</v>
      </c>
      <c r="M1078" s="1" t="s">
        <v>9478</v>
      </c>
      <c r="N1078" s="1" t="s">
        <v>8396</v>
      </c>
    </row>
    <row r="1079" spans="1:14">
      <c r="A1079" s="1" t="s">
        <v>4246</v>
      </c>
      <c r="B1079" s="1" t="s">
        <v>4247</v>
      </c>
      <c r="C1079" s="1" t="s">
        <v>4248</v>
      </c>
      <c r="D1079" s="1" t="s">
        <v>4790</v>
      </c>
      <c r="E1079" s="1" t="s">
        <v>11101</v>
      </c>
      <c r="F1079" s="1" t="s">
        <v>6426</v>
      </c>
      <c r="G1079" t="s">
        <v>11102</v>
      </c>
      <c r="I1079" s="1"/>
      <c r="J1079" s="44" t="s">
        <v>4250</v>
      </c>
      <c r="K1079" s="44" t="s">
        <v>5001</v>
      </c>
      <c r="L1079" s="1" t="s">
        <v>11103</v>
      </c>
      <c r="M1079" s="1" t="s">
        <v>11104</v>
      </c>
      <c r="N1079" s="1" t="s">
        <v>8070</v>
      </c>
    </row>
    <row r="1080" spans="1:14">
      <c r="A1080" s="1" t="s">
        <v>4653</v>
      </c>
      <c r="B1080" s="1" t="s">
        <v>4654</v>
      </c>
      <c r="C1080" s="1" t="s">
        <v>4655</v>
      </c>
      <c r="D1080" s="1" t="s">
        <v>4794</v>
      </c>
      <c r="E1080" s="1" t="s">
        <v>9978</v>
      </c>
      <c r="F1080" s="1" t="s">
        <v>1709</v>
      </c>
      <c r="G1080" t="s">
        <v>11105</v>
      </c>
      <c r="I1080" s="1"/>
      <c r="J1080" s="44" t="s">
        <v>4657</v>
      </c>
      <c r="K1080" s="44" t="s">
        <v>5001</v>
      </c>
      <c r="L1080" s="1" t="s">
        <v>5002</v>
      </c>
      <c r="M1080" s="1" t="s">
        <v>5693</v>
      </c>
      <c r="N1080" s="1" t="s">
        <v>8112</v>
      </c>
    </row>
    <row r="1081" spans="1:14">
      <c r="A1081" s="1" t="s">
        <v>4523</v>
      </c>
      <c r="B1081" s="1" t="s">
        <v>4524</v>
      </c>
      <c r="C1081" s="1" t="s">
        <v>4525</v>
      </c>
      <c r="D1081" s="1" t="s">
        <v>4795</v>
      </c>
      <c r="E1081" s="1" t="s">
        <v>11106</v>
      </c>
      <c r="F1081" s="1" t="s">
        <v>6428</v>
      </c>
      <c r="G1081" t="s">
        <v>11107</v>
      </c>
      <c r="I1081" s="1"/>
      <c r="J1081" s="44" t="s">
        <v>4997</v>
      </c>
      <c r="K1081" s="44" t="s">
        <v>5049</v>
      </c>
      <c r="L1081" s="1" t="s">
        <v>11108</v>
      </c>
      <c r="M1081" s="1" t="s">
        <v>5740</v>
      </c>
      <c r="N1081" s="1" t="s">
        <v>8171</v>
      </c>
    </row>
    <row r="1082" spans="1:14">
      <c r="A1082" s="1" t="s">
        <v>4451</v>
      </c>
      <c r="B1082" s="1" t="s">
        <v>4452</v>
      </c>
      <c r="C1082" s="1" t="s">
        <v>4453</v>
      </c>
      <c r="D1082" s="1" t="s">
        <v>4799</v>
      </c>
      <c r="E1082" s="1" t="s">
        <v>10176</v>
      </c>
      <c r="F1082" s="1" t="s">
        <v>5527</v>
      </c>
      <c r="G1082" t="s">
        <v>11109</v>
      </c>
      <c r="I1082" s="1"/>
      <c r="J1082" s="44" t="s">
        <v>6773</v>
      </c>
      <c r="K1082" s="44" t="s">
        <v>6249</v>
      </c>
      <c r="L1082" s="1" t="s">
        <v>11110</v>
      </c>
      <c r="M1082" s="1" t="s">
        <v>7888</v>
      </c>
      <c r="N1082" s="1" t="s">
        <v>8396</v>
      </c>
    </row>
    <row r="1083" spans="1:14">
      <c r="A1083" s="1" t="s">
        <v>4738</v>
      </c>
      <c r="B1083" s="1" t="s">
        <v>4739</v>
      </c>
      <c r="C1083" s="1" t="s">
        <v>4740</v>
      </c>
      <c r="D1083" s="1" t="s">
        <v>4804</v>
      </c>
      <c r="E1083" s="1" t="s">
        <v>9705</v>
      </c>
      <c r="F1083" s="1" t="s">
        <v>1158</v>
      </c>
      <c r="G1083" t="s">
        <v>11111</v>
      </c>
      <c r="I1083" s="1"/>
      <c r="J1083" s="44"/>
      <c r="K1083" s="44" t="s">
        <v>5067</v>
      </c>
      <c r="L1083" s="1"/>
      <c r="M1083" s="1"/>
      <c r="N1083" s="1" t="s">
        <v>8102</v>
      </c>
    </row>
    <row r="1084" spans="1:14">
      <c r="A1084" s="1" t="s">
        <v>4782</v>
      </c>
      <c r="B1084" s="1" t="s">
        <v>4783</v>
      </c>
      <c r="C1084" s="1" t="s">
        <v>4784</v>
      </c>
      <c r="D1084" s="1" t="s">
        <v>4808</v>
      </c>
      <c r="E1084" s="1" t="s">
        <v>9978</v>
      </c>
      <c r="F1084" s="1" t="s">
        <v>1709</v>
      </c>
      <c r="G1084" t="s">
        <v>11112</v>
      </c>
      <c r="I1084" s="1"/>
      <c r="J1084" s="44"/>
      <c r="K1084" s="44" t="s">
        <v>5001</v>
      </c>
      <c r="L1084" s="1" t="s">
        <v>5791</v>
      </c>
      <c r="M1084" s="1" t="s">
        <v>7592</v>
      </c>
      <c r="N1084" s="1" t="s">
        <v>8070</v>
      </c>
    </row>
    <row r="1085" spans="1:14">
      <c r="A1085" s="1" t="s">
        <v>5103</v>
      </c>
      <c r="B1085" s="1" t="s">
        <v>5104</v>
      </c>
      <c r="C1085" s="1" t="s">
        <v>5105</v>
      </c>
      <c r="D1085" s="1" t="s">
        <v>4811</v>
      </c>
      <c r="E1085" s="1" t="s">
        <v>11113</v>
      </c>
      <c r="F1085" s="1" t="s">
        <v>5553</v>
      </c>
      <c r="G1085" t="s">
        <v>11114</v>
      </c>
      <c r="I1085" s="1"/>
      <c r="J1085" s="44"/>
      <c r="K1085" s="44" t="s">
        <v>5067</v>
      </c>
      <c r="L1085" s="1" t="s">
        <v>5791</v>
      </c>
      <c r="M1085" s="1" t="s">
        <v>7518</v>
      </c>
      <c r="N1085" s="1" t="s">
        <v>8173</v>
      </c>
    </row>
    <row r="1086" spans="1:14">
      <c r="A1086" s="1" t="s">
        <v>4620</v>
      </c>
      <c r="B1086" s="1" t="s">
        <v>4621</v>
      </c>
      <c r="C1086" s="1" t="s">
        <v>4622</v>
      </c>
      <c r="D1086" s="1" t="s">
        <v>4812</v>
      </c>
      <c r="E1086" s="1" t="s">
        <v>10396</v>
      </c>
      <c r="F1086" s="1" t="s">
        <v>6103</v>
      </c>
      <c r="G1086" t="s">
        <v>11115</v>
      </c>
      <c r="I1086" s="1"/>
      <c r="J1086" s="44"/>
      <c r="K1086" s="44" t="s">
        <v>7384</v>
      </c>
      <c r="L1086" s="1" t="s">
        <v>5634</v>
      </c>
      <c r="M1086" s="1" t="s">
        <v>7402</v>
      </c>
      <c r="N1086" s="1" t="s">
        <v>8112</v>
      </c>
    </row>
    <row r="1087" spans="1:14">
      <c r="A1087" s="1" t="s">
        <v>4484</v>
      </c>
      <c r="B1087" s="1" t="s">
        <v>4485</v>
      </c>
      <c r="C1087" s="1" t="s">
        <v>4486</v>
      </c>
      <c r="D1087" s="1" t="s">
        <v>4813</v>
      </c>
      <c r="E1087" s="1" t="s">
        <v>9817</v>
      </c>
      <c r="F1087" s="1" t="s">
        <v>754</v>
      </c>
      <c r="G1087" t="s">
        <v>11116</v>
      </c>
      <c r="I1087" s="1"/>
      <c r="J1087" s="44" t="s">
        <v>4488</v>
      </c>
      <c r="K1087" s="44" t="s">
        <v>5001</v>
      </c>
      <c r="L1087" s="1" t="s">
        <v>5791</v>
      </c>
      <c r="M1087" s="1" t="s">
        <v>7592</v>
      </c>
      <c r="N1087" s="1" t="s">
        <v>8090</v>
      </c>
    </row>
    <row r="1088" spans="1:14">
      <c r="A1088" s="1" t="s">
        <v>4645</v>
      </c>
      <c r="B1088" s="1" t="s">
        <v>4646</v>
      </c>
      <c r="C1088" s="1" t="s">
        <v>4647</v>
      </c>
      <c r="D1088" s="1" t="s">
        <v>4814</v>
      </c>
      <c r="E1088" s="1" t="s">
        <v>10364</v>
      </c>
      <c r="F1088" s="1" t="s">
        <v>2236</v>
      </c>
      <c r="G1088" t="s">
        <v>11117</v>
      </c>
      <c r="I1088" s="1"/>
      <c r="J1088" s="44"/>
      <c r="K1088" s="44" t="s">
        <v>5067</v>
      </c>
      <c r="L1088" s="1" t="s">
        <v>5791</v>
      </c>
      <c r="M1088" s="1" t="s">
        <v>5675</v>
      </c>
      <c r="N1088" s="1" t="s">
        <v>8107</v>
      </c>
    </row>
    <row r="1089" spans="1:14">
      <c r="A1089" s="1" t="s">
        <v>4628</v>
      </c>
      <c r="B1089" s="1" t="s">
        <v>4629</v>
      </c>
      <c r="C1089" s="1" t="s">
        <v>4630</v>
      </c>
      <c r="D1089" s="1" t="s">
        <v>4818</v>
      </c>
      <c r="E1089" s="1" t="s">
        <v>10836</v>
      </c>
      <c r="F1089" s="1" t="s">
        <v>4632</v>
      </c>
      <c r="G1089" t="s">
        <v>11118</v>
      </c>
      <c r="I1089" s="1"/>
      <c r="J1089" s="44"/>
      <c r="K1089" s="44" t="s">
        <v>5001</v>
      </c>
      <c r="L1089" s="1" t="s">
        <v>7911</v>
      </c>
      <c r="M1089" s="1"/>
      <c r="N1089" s="1" t="s">
        <v>8085</v>
      </c>
    </row>
    <row r="1090" spans="1:14">
      <c r="A1090" s="1" t="s">
        <v>4527</v>
      </c>
      <c r="B1090" s="1" t="s">
        <v>4528</v>
      </c>
      <c r="C1090" s="1" t="s">
        <v>4529</v>
      </c>
      <c r="D1090" s="1" t="s">
        <v>4822</v>
      </c>
      <c r="E1090" s="1" t="s">
        <v>11119</v>
      </c>
      <c r="F1090" s="1" t="s">
        <v>5223</v>
      </c>
      <c r="G1090" t="s">
        <v>11120</v>
      </c>
      <c r="I1090" s="1"/>
      <c r="J1090" s="44" t="s">
        <v>4531</v>
      </c>
      <c r="K1090" s="44" t="s">
        <v>5067</v>
      </c>
      <c r="L1090" s="1" t="s">
        <v>5762</v>
      </c>
      <c r="M1090" s="1" t="s">
        <v>7751</v>
      </c>
      <c r="N1090" s="1" t="s">
        <v>8112</v>
      </c>
    </row>
    <row r="1091" spans="1:14">
      <c r="A1091" s="1" t="s">
        <v>4507</v>
      </c>
      <c r="B1091" s="1" t="s">
        <v>4508</v>
      </c>
      <c r="C1091" s="1" t="s">
        <v>4508</v>
      </c>
      <c r="D1091" s="1" t="s">
        <v>4826</v>
      </c>
      <c r="E1091" s="1" t="s">
        <v>9806</v>
      </c>
      <c r="F1091" s="1" t="s">
        <v>5546</v>
      </c>
      <c r="G1091" t="s">
        <v>11121</v>
      </c>
      <c r="I1091" s="1"/>
      <c r="J1091" s="44"/>
      <c r="K1091" s="44" t="s">
        <v>5001</v>
      </c>
      <c r="L1091" s="1"/>
      <c r="M1091" s="1" t="s">
        <v>7290</v>
      </c>
      <c r="N1091" s="1" t="s">
        <v>8190</v>
      </c>
    </row>
    <row r="1092" spans="1:14">
      <c r="A1092" s="1" t="s">
        <v>4595</v>
      </c>
      <c r="B1092" s="1" t="s">
        <v>4596</v>
      </c>
      <c r="C1092" s="1" t="s">
        <v>4597</v>
      </c>
      <c r="D1092" s="1" t="s">
        <v>4829</v>
      </c>
      <c r="E1092" s="1" t="s">
        <v>11090</v>
      </c>
      <c r="F1092" s="1" t="s">
        <v>5341</v>
      </c>
      <c r="G1092" t="s">
        <v>11122</v>
      </c>
      <c r="I1092" s="1"/>
      <c r="J1092" s="44" t="s">
        <v>4599</v>
      </c>
      <c r="K1092" s="44" t="s">
        <v>5067</v>
      </c>
      <c r="L1092" s="1" t="s">
        <v>5651</v>
      </c>
      <c r="M1092" s="1" t="s">
        <v>5849</v>
      </c>
      <c r="N1092" s="1" t="s">
        <v>8065</v>
      </c>
    </row>
    <row r="1093" spans="1:14">
      <c r="A1093" s="1" t="s">
        <v>4840</v>
      </c>
      <c r="B1093" s="1" t="s">
        <v>4841</v>
      </c>
      <c r="C1093" s="1" t="s">
        <v>4842</v>
      </c>
      <c r="D1093" s="1" t="s">
        <v>4830</v>
      </c>
      <c r="E1093" s="1" t="s">
        <v>10209</v>
      </c>
      <c r="F1093" s="1" t="s">
        <v>1372</v>
      </c>
      <c r="G1093" t="s">
        <v>11123</v>
      </c>
      <c r="I1093" s="1"/>
      <c r="J1093" s="44" t="s">
        <v>4844</v>
      </c>
      <c r="K1093" s="44" t="s">
        <v>5067</v>
      </c>
      <c r="L1093" s="1"/>
      <c r="M1093" s="1"/>
      <c r="N1093" s="1" t="s">
        <v>8137</v>
      </c>
    </row>
    <row r="1094" spans="1:14">
      <c r="A1094" s="1" t="s">
        <v>4324</v>
      </c>
      <c r="B1094" s="1" t="s">
        <v>4325</v>
      </c>
      <c r="C1094" s="1" t="s">
        <v>4326</v>
      </c>
      <c r="D1094" s="1" t="s">
        <v>4834</v>
      </c>
      <c r="E1094" s="1" t="s">
        <v>11124</v>
      </c>
      <c r="F1094" s="1" t="s">
        <v>5749</v>
      </c>
      <c r="G1094" t="s">
        <v>11125</v>
      </c>
      <c r="I1094" s="1"/>
      <c r="J1094" s="44"/>
      <c r="K1094" s="44" t="s">
        <v>5845</v>
      </c>
      <c r="L1094" s="1" t="s">
        <v>5537</v>
      </c>
      <c r="M1094" s="1" t="s">
        <v>9810</v>
      </c>
      <c r="N1094" s="1" t="s">
        <v>8098</v>
      </c>
    </row>
    <row r="1095" spans="1:14">
      <c r="A1095" s="1" t="s">
        <v>4331</v>
      </c>
      <c r="B1095" s="1" t="s">
        <v>4332</v>
      </c>
      <c r="C1095" s="1" t="s">
        <v>4333</v>
      </c>
      <c r="D1095" s="1" t="s">
        <v>4838</v>
      </c>
      <c r="E1095" s="1" t="s">
        <v>10510</v>
      </c>
      <c r="F1095" s="1" t="s">
        <v>1034</v>
      </c>
      <c r="G1095" t="s">
        <v>11126</v>
      </c>
      <c r="I1095" s="1"/>
      <c r="J1095" s="44"/>
      <c r="K1095" s="44" t="s">
        <v>5001</v>
      </c>
      <c r="L1095" s="1"/>
      <c r="M1095" s="1"/>
      <c r="N1095" s="1" t="s">
        <v>8263</v>
      </c>
    </row>
    <row r="1096" spans="1:14">
      <c r="A1096" s="1" t="s">
        <v>4801</v>
      </c>
      <c r="B1096" s="1" t="s">
        <v>4802</v>
      </c>
      <c r="C1096" s="1" t="s">
        <v>4803</v>
      </c>
      <c r="D1096" s="1" t="s">
        <v>4839</v>
      </c>
      <c r="E1096" s="1" t="s">
        <v>11127</v>
      </c>
      <c r="F1096" s="1" t="s">
        <v>6008</v>
      </c>
      <c r="G1096" t="s">
        <v>11128</v>
      </c>
      <c r="I1096" s="1"/>
      <c r="J1096" s="44"/>
      <c r="K1096" s="44" t="s">
        <v>5067</v>
      </c>
      <c r="L1096" s="1"/>
      <c r="M1096" s="1" t="s">
        <v>11129</v>
      </c>
      <c r="N1096" s="1" t="s">
        <v>8152</v>
      </c>
    </row>
    <row r="1097" spans="1:14">
      <c r="A1097" s="1" t="s">
        <v>4641</v>
      </c>
      <c r="B1097" s="1" t="s">
        <v>4642</v>
      </c>
      <c r="C1097" s="1" t="s">
        <v>4643</v>
      </c>
      <c r="D1097" s="1" t="s">
        <v>4843</v>
      </c>
      <c r="E1097" s="1" t="s">
        <v>10661</v>
      </c>
      <c r="F1097" s="1" t="s">
        <v>2868</v>
      </c>
      <c r="G1097" t="s">
        <v>11130</v>
      </c>
      <c r="I1097" s="1"/>
      <c r="J1097" s="44"/>
      <c r="K1097" s="44" t="s">
        <v>5067</v>
      </c>
      <c r="L1097" s="1" t="s">
        <v>7670</v>
      </c>
      <c r="M1097" s="1" t="s">
        <v>8006</v>
      </c>
      <c r="N1097" s="1" t="s">
        <v>8112</v>
      </c>
    </row>
    <row r="1098" spans="1:14">
      <c r="A1098" s="1" t="s">
        <v>4778</v>
      </c>
      <c r="B1098" s="1" t="s">
        <v>4779</v>
      </c>
      <c r="C1098" s="1" t="s">
        <v>4780</v>
      </c>
      <c r="D1098" s="1" t="s">
        <v>4848</v>
      </c>
      <c r="E1098" s="1" t="s">
        <v>9988</v>
      </c>
      <c r="F1098" s="1" t="s">
        <v>1312</v>
      </c>
      <c r="G1098" t="s">
        <v>11131</v>
      </c>
      <c r="I1098" s="1"/>
      <c r="J1098" s="44"/>
      <c r="K1098" s="44" t="s">
        <v>5001</v>
      </c>
      <c r="L1098" s="1"/>
      <c r="M1098" s="1" t="s">
        <v>7592</v>
      </c>
      <c r="N1098" s="1" t="s">
        <v>8098</v>
      </c>
    </row>
    <row r="1099" spans="1:14">
      <c r="A1099" s="1" t="s">
        <v>4568</v>
      </c>
      <c r="B1099" s="1" t="s">
        <v>4569</v>
      </c>
      <c r="C1099" s="1" t="s">
        <v>4570</v>
      </c>
      <c r="D1099" s="1" t="s">
        <v>4852</v>
      </c>
      <c r="E1099" s="1" t="s">
        <v>10608</v>
      </c>
      <c r="F1099" s="1" t="s">
        <v>2203</v>
      </c>
      <c r="G1099" t="s">
        <v>11132</v>
      </c>
      <c r="I1099" s="1"/>
      <c r="J1099" s="44"/>
      <c r="K1099" s="44" t="s">
        <v>5001</v>
      </c>
      <c r="L1099" s="1" t="s">
        <v>5791</v>
      </c>
      <c r="M1099" s="1" t="s">
        <v>8061</v>
      </c>
      <c r="N1099" s="1" t="s">
        <v>8137</v>
      </c>
    </row>
    <row r="1100" spans="1:14">
      <c r="A1100" s="1" t="s">
        <v>4572</v>
      </c>
      <c r="B1100" s="1" t="s">
        <v>4573</v>
      </c>
      <c r="C1100" s="1" t="s">
        <v>4574</v>
      </c>
      <c r="D1100" s="1" t="s">
        <v>4857</v>
      </c>
      <c r="E1100" s="1" t="s">
        <v>11133</v>
      </c>
      <c r="F1100" s="1" t="s">
        <v>4976</v>
      </c>
      <c r="G1100" t="s">
        <v>11134</v>
      </c>
      <c r="I1100" s="1"/>
      <c r="J1100" s="44"/>
      <c r="K1100" s="44" t="s">
        <v>5067</v>
      </c>
      <c r="L1100" s="1" t="s">
        <v>5791</v>
      </c>
      <c r="M1100" s="1" t="s">
        <v>7592</v>
      </c>
      <c r="N1100" s="1" t="s">
        <v>8263</v>
      </c>
    </row>
    <row r="1101" spans="1:14">
      <c r="A1101" s="1" t="s">
        <v>4532</v>
      </c>
      <c r="B1101" s="1" t="s">
        <v>4533</v>
      </c>
      <c r="C1101" s="1" t="s">
        <v>4534</v>
      </c>
      <c r="D1101" s="1" t="s">
        <v>4861</v>
      </c>
      <c r="E1101" s="1" t="s">
        <v>7902</v>
      </c>
      <c r="F1101" s="1" t="s">
        <v>3271</v>
      </c>
      <c r="G1101" t="s">
        <v>11135</v>
      </c>
      <c r="I1101" s="1"/>
      <c r="J1101" s="44"/>
      <c r="K1101" s="44" t="s">
        <v>5067</v>
      </c>
      <c r="L1101" s="1"/>
      <c r="M1101" s="1" t="s">
        <v>7331</v>
      </c>
      <c r="N1101" s="1" t="s">
        <v>8263</v>
      </c>
    </row>
    <row r="1102" spans="1:14">
      <c r="A1102" s="1" t="s">
        <v>4866</v>
      </c>
      <c r="B1102" s="1" t="s">
        <v>4867</v>
      </c>
      <c r="C1102" s="1" t="s">
        <v>4868</v>
      </c>
      <c r="D1102" s="1" t="s">
        <v>4865</v>
      </c>
      <c r="E1102" s="1" t="s">
        <v>11136</v>
      </c>
      <c r="F1102" s="1" t="s">
        <v>6429</v>
      </c>
      <c r="G1102" t="s">
        <v>11137</v>
      </c>
      <c r="I1102" s="1"/>
      <c r="J1102" s="44"/>
      <c r="K1102" s="44" t="s">
        <v>5067</v>
      </c>
      <c r="L1102" s="1" t="s">
        <v>7106</v>
      </c>
      <c r="M1102" s="1" t="s">
        <v>7249</v>
      </c>
      <c r="N1102" s="1" t="s">
        <v>8137</v>
      </c>
    </row>
    <row r="1103" spans="1:14">
      <c r="A1103" s="1" t="s">
        <v>4854</v>
      </c>
      <c r="B1103" s="1" t="s">
        <v>4855</v>
      </c>
      <c r="C1103" s="1" t="s">
        <v>4856</v>
      </c>
      <c r="D1103" s="1" t="s">
        <v>4869</v>
      </c>
      <c r="E1103" s="1" t="s">
        <v>11138</v>
      </c>
      <c r="F1103" s="1" t="s">
        <v>6432</v>
      </c>
      <c r="G1103" t="s">
        <v>11139</v>
      </c>
      <c r="I1103" s="1"/>
      <c r="J1103" s="44"/>
      <c r="K1103" s="44" t="s">
        <v>5001</v>
      </c>
      <c r="L1103" s="1"/>
      <c r="M1103" s="1" t="s">
        <v>11140</v>
      </c>
      <c r="N1103" s="1" t="s">
        <v>8263</v>
      </c>
    </row>
    <row r="1104" spans="1:14">
      <c r="A1104" s="1" t="s">
        <v>4663</v>
      </c>
      <c r="B1104" s="1" t="s">
        <v>4664</v>
      </c>
      <c r="C1104" s="1" t="s">
        <v>4665</v>
      </c>
      <c r="D1104" s="1" t="s">
        <v>4870</v>
      </c>
      <c r="E1104" s="1" t="s">
        <v>11141</v>
      </c>
      <c r="F1104" s="1" t="s">
        <v>6430</v>
      </c>
      <c r="G1104" t="s">
        <v>11142</v>
      </c>
      <c r="I1104" s="1"/>
      <c r="J1104" s="44" t="s">
        <v>6774</v>
      </c>
      <c r="K1104" s="44" t="s">
        <v>5067</v>
      </c>
      <c r="L1104" s="1"/>
      <c r="M1104" s="1"/>
      <c r="N1104" s="1" t="s">
        <v>8065</v>
      </c>
    </row>
    <row r="1105" spans="1:14">
      <c r="A1105" s="1" t="s">
        <v>4161</v>
      </c>
      <c r="B1105" s="1" t="s">
        <v>4162</v>
      </c>
      <c r="C1105" s="1" t="s">
        <v>4163</v>
      </c>
      <c r="D1105" s="1" t="s">
        <v>4871</v>
      </c>
      <c r="E1105" s="1" t="s">
        <v>11143</v>
      </c>
      <c r="F1105" s="1" t="s">
        <v>11144</v>
      </c>
      <c r="G1105" t="s">
        <v>11145</v>
      </c>
      <c r="I1105" s="1"/>
      <c r="J1105" s="44" t="s">
        <v>6431</v>
      </c>
      <c r="K1105" s="44" t="s">
        <v>5088</v>
      </c>
      <c r="L1105" s="1" t="s">
        <v>7285</v>
      </c>
      <c r="M1105" s="1" t="s">
        <v>11146</v>
      </c>
      <c r="N1105" s="1" t="s">
        <v>8213</v>
      </c>
    </row>
    <row r="1106" spans="1:14">
      <c r="A1106" s="1" t="s">
        <v>4713</v>
      </c>
      <c r="B1106" s="1" t="s">
        <v>4714</v>
      </c>
      <c r="C1106" s="1" t="s">
        <v>4715</v>
      </c>
      <c r="D1106" s="1" t="s">
        <v>4872</v>
      </c>
      <c r="E1106" s="1" t="s">
        <v>10572</v>
      </c>
      <c r="F1106" s="1" t="s">
        <v>5219</v>
      </c>
      <c r="G1106" t="s">
        <v>11147</v>
      </c>
      <c r="I1106" s="1"/>
      <c r="J1106" s="44"/>
      <c r="K1106" s="44" t="s">
        <v>5067</v>
      </c>
      <c r="L1106" s="1" t="s">
        <v>7219</v>
      </c>
      <c r="M1106" s="1" t="s">
        <v>6627</v>
      </c>
      <c r="N1106" s="1" t="s">
        <v>8107</v>
      </c>
    </row>
    <row r="1107" spans="1:14">
      <c r="A1107" s="1" t="s">
        <v>4819</v>
      </c>
      <c r="B1107" s="1" t="s">
        <v>4820</v>
      </c>
      <c r="C1107" s="1" t="s">
        <v>4821</v>
      </c>
      <c r="D1107" s="1" t="s">
        <v>4876</v>
      </c>
      <c r="E1107" s="1" t="s">
        <v>11148</v>
      </c>
      <c r="F1107" s="1" t="s">
        <v>5999</v>
      </c>
      <c r="G1107" t="s">
        <v>11149</v>
      </c>
      <c r="I1107" s="1"/>
      <c r="J1107" s="44"/>
      <c r="K1107" s="44" t="s">
        <v>5067</v>
      </c>
      <c r="L1107" s="1"/>
      <c r="M1107" s="1" t="s">
        <v>7785</v>
      </c>
      <c r="N1107" s="1" t="s">
        <v>8065</v>
      </c>
    </row>
    <row r="1108" spans="1:14">
      <c r="A1108" s="1" t="s">
        <v>4263</v>
      </c>
      <c r="B1108" s="1" t="s">
        <v>4264</v>
      </c>
      <c r="C1108" s="1" t="s">
        <v>4265</v>
      </c>
      <c r="D1108" s="1" t="s">
        <v>4877</v>
      </c>
      <c r="E1108" s="1" t="s">
        <v>10979</v>
      </c>
      <c r="F1108" s="1" t="s">
        <v>2320</v>
      </c>
      <c r="G1108" t="s">
        <v>11150</v>
      </c>
      <c r="I1108" s="1"/>
      <c r="J1108" s="44"/>
      <c r="K1108" s="44" t="s">
        <v>5067</v>
      </c>
      <c r="L1108" s="1" t="s">
        <v>5791</v>
      </c>
      <c r="M1108" s="1" t="s">
        <v>7914</v>
      </c>
      <c r="N1108" s="1" t="s">
        <v>8173</v>
      </c>
    </row>
    <row r="1109" spans="1:14">
      <c r="A1109" s="1" t="s">
        <v>4489</v>
      </c>
      <c r="B1109" s="1" t="s">
        <v>4490</v>
      </c>
      <c r="C1109" s="1" t="s">
        <v>4491</v>
      </c>
      <c r="D1109" s="1" t="s">
        <v>4881</v>
      </c>
      <c r="E1109" s="1" t="s">
        <v>10979</v>
      </c>
      <c r="F1109" s="1" t="s">
        <v>2320</v>
      </c>
      <c r="G1109" t="s">
        <v>11151</v>
      </c>
      <c r="I1109" s="1"/>
      <c r="J1109" s="44" t="s">
        <v>4493</v>
      </c>
      <c r="K1109" s="44" t="s">
        <v>5067</v>
      </c>
      <c r="L1109" s="1" t="s">
        <v>11152</v>
      </c>
      <c r="M1109" s="1" t="s">
        <v>7012</v>
      </c>
      <c r="N1109" s="1" t="s">
        <v>8137</v>
      </c>
    </row>
    <row r="1110" spans="1:14">
      <c r="A1110" s="1" t="s">
        <v>4734</v>
      </c>
      <c r="B1110" s="1" t="s">
        <v>4735</v>
      </c>
      <c r="C1110" s="1" t="s">
        <v>4736</v>
      </c>
      <c r="D1110" s="1" t="s">
        <v>4974</v>
      </c>
      <c r="E1110" s="1" t="s">
        <v>9978</v>
      </c>
      <c r="F1110" s="1" t="s">
        <v>1709</v>
      </c>
      <c r="G1110" t="s">
        <v>11153</v>
      </c>
      <c r="I1110" s="1"/>
      <c r="J1110" s="44" t="s">
        <v>11154</v>
      </c>
      <c r="K1110" s="44" t="s">
        <v>5067</v>
      </c>
      <c r="L1110" s="1"/>
      <c r="M1110" s="1" t="s">
        <v>6644</v>
      </c>
      <c r="N1110" s="1" t="s">
        <v>8085</v>
      </c>
    </row>
    <row r="1111" spans="1:14">
      <c r="A1111" s="1" t="s">
        <v>4763</v>
      </c>
      <c r="B1111" s="1" t="s">
        <v>4764</v>
      </c>
      <c r="C1111" s="1" t="s">
        <v>4764</v>
      </c>
      <c r="D1111" s="1" t="s">
        <v>4975</v>
      </c>
      <c r="E1111" s="1" t="s">
        <v>9817</v>
      </c>
      <c r="F1111" s="1" t="s">
        <v>754</v>
      </c>
      <c r="G1111" t="s">
        <v>11155</v>
      </c>
      <c r="I1111" s="1"/>
      <c r="J1111" s="44"/>
      <c r="K1111" s="44" t="s">
        <v>5001</v>
      </c>
      <c r="L1111" s="1"/>
      <c r="M1111" s="1" t="s">
        <v>7592</v>
      </c>
      <c r="N1111" s="1" t="s">
        <v>8190</v>
      </c>
    </row>
    <row r="1112" spans="1:14">
      <c r="A1112" s="1" t="s">
        <v>4434</v>
      </c>
      <c r="B1112" s="1" t="s">
        <v>4435</v>
      </c>
      <c r="C1112" s="1" t="s">
        <v>4436</v>
      </c>
      <c r="D1112" s="1" t="s">
        <v>4990</v>
      </c>
      <c r="E1112" s="1" t="s">
        <v>11156</v>
      </c>
      <c r="F1112" s="1" t="s">
        <v>7573</v>
      </c>
      <c r="G1112" t="s">
        <v>11157</v>
      </c>
      <c r="I1112" s="1"/>
      <c r="J1112" s="44"/>
      <c r="K1112" s="44" t="s">
        <v>3488</v>
      </c>
      <c r="L1112" s="1" t="s">
        <v>5241</v>
      </c>
      <c r="M1112" s="1" t="s">
        <v>11158</v>
      </c>
      <c r="N1112" s="1" t="s">
        <v>8074</v>
      </c>
    </row>
    <row r="1113" spans="1:14">
      <c r="A1113" s="1" t="s">
        <v>4267</v>
      </c>
      <c r="B1113" s="1" t="s">
        <v>4268</v>
      </c>
      <c r="C1113" s="1" t="s">
        <v>4269</v>
      </c>
      <c r="D1113" s="1" t="s">
        <v>5046</v>
      </c>
      <c r="E1113" s="1" t="s">
        <v>11159</v>
      </c>
      <c r="F1113" s="1" t="s">
        <v>1372</v>
      </c>
      <c r="G1113" t="s">
        <v>11160</v>
      </c>
      <c r="I1113" s="1"/>
      <c r="J1113" s="44"/>
      <c r="K1113" s="44" t="s">
        <v>5112</v>
      </c>
      <c r="L1113" s="1"/>
      <c r="M1113" s="1" t="s">
        <v>5887</v>
      </c>
      <c r="N1113" s="1" t="s">
        <v>8065</v>
      </c>
    </row>
    <row r="1114" spans="1:14">
      <c r="A1114" s="1" t="s">
        <v>4242</v>
      </c>
      <c r="B1114" s="1" t="s">
        <v>4243</v>
      </c>
      <c r="C1114" s="1" t="s">
        <v>4244</v>
      </c>
      <c r="D1114" s="1" t="s">
        <v>5047</v>
      </c>
      <c r="E1114" s="1" t="s">
        <v>9978</v>
      </c>
      <c r="F1114" s="1" t="s">
        <v>1709</v>
      </c>
      <c r="G1114" t="s">
        <v>11161</v>
      </c>
      <c r="I1114" s="1"/>
      <c r="J1114" s="44"/>
      <c r="K1114" s="44" t="s">
        <v>5067</v>
      </c>
      <c r="L1114" s="1" t="s">
        <v>5002</v>
      </c>
      <c r="M1114" s="1" t="s">
        <v>5713</v>
      </c>
      <c r="N1114" s="1" t="s">
        <v>8121</v>
      </c>
    </row>
    <row r="1115" spans="1:14">
      <c r="A1115" s="1" t="s">
        <v>4805</v>
      </c>
      <c r="B1115" s="1" t="s">
        <v>4806</v>
      </c>
      <c r="C1115" s="1" t="s">
        <v>4807</v>
      </c>
      <c r="D1115" s="1" t="s">
        <v>5169</v>
      </c>
      <c r="E1115" s="1" t="s">
        <v>9978</v>
      </c>
      <c r="F1115" s="1" t="s">
        <v>1709</v>
      </c>
      <c r="G1115" t="s">
        <v>11162</v>
      </c>
      <c r="I1115" s="1"/>
      <c r="J1115" s="44"/>
      <c r="K1115" s="44" t="s">
        <v>5067</v>
      </c>
      <c r="L1115" s="1" t="s">
        <v>7038</v>
      </c>
      <c r="M1115" s="1"/>
      <c r="N1115" s="1" t="s">
        <v>8085</v>
      </c>
    </row>
    <row r="1116" spans="1:14">
      <c r="A1116" s="1" t="s">
        <v>4556</v>
      </c>
      <c r="B1116" s="1" t="s">
        <v>4557</v>
      </c>
      <c r="C1116" s="1" t="s">
        <v>4558</v>
      </c>
      <c r="D1116" s="1" t="s">
        <v>5170</v>
      </c>
      <c r="E1116" s="1" t="s">
        <v>11163</v>
      </c>
      <c r="F1116" s="1" t="s">
        <v>479</v>
      </c>
      <c r="G1116" t="s">
        <v>11164</v>
      </c>
      <c r="I1116" s="1"/>
      <c r="J1116" s="44"/>
      <c r="K1116" s="44" t="s">
        <v>5001</v>
      </c>
      <c r="L1116" s="1" t="s">
        <v>11165</v>
      </c>
      <c r="M1116" s="1" t="s">
        <v>7406</v>
      </c>
      <c r="N1116" s="1" t="s">
        <v>8137</v>
      </c>
    </row>
    <row r="1117" spans="1:14">
      <c r="A1117" s="1" t="s">
        <v>4858</v>
      </c>
      <c r="B1117" s="1" t="s">
        <v>4859</v>
      </c>
      <c r="C1117" s="1" t="s">
        <v>4860</v>
      </c>
      <c r="D1117" s="1" t="s">
        <v>5171</v>
      </c>
      <c r="E1117" s="1" t="s">
        <v>11166</v>
      </c>
      <c r="F1117" s="1" t="s">
        <v>6433</v>
      </c>
      <c r="G1117" t="s">
        <v>11167</v>
      </c>
      <c r="I1117" s="1"/>
      <c r="J1117" s="44"/>
      <c r="K1117" s="44" t="s">
        <v>5067</v>
      </c>
      <c r="L1117" s="1" t="s">
        <v>5768</v>
      </c>
      <c r="M1117" s="1"/>
      <c r="N1117" s="1" t="s">
        <v>8190</v>
      </c>
    </row>
    <row r="1118" spans="1:14">
      <c r="A1118" s="1" t="s">
        <v>4590</v>
      </c>
      <c r="B1118" s="1" t="s">
        <v>4591</v>
      </c>
      <c r="C1118" s="1" t="s">
        <v>4592</v>
      </c>
      <c r="D1118" s="1" t="s">
        <v>5172</v>
      </c>
      <c r="E1118" s="1" t="s">
        <v>9978</v>
      </c>
      <c r="F1118" s="1" t="s">
        <v>1709</v>
      </c>
      <c r="G1118" t="s">
        <v>11168</v>
      </c>
      <c r="I1118" s="1"/>
      <c r="J1118" s="44" t="s">
        <v>4594</v>
      </c>
      <c r="K1118" s="44" t="s">
        <v>5067</v>
      </c>
      <c r="L1118" s="1"/>
      <c r="M1118" s="1" t="s">
        <v>7305</v>
      </c>
      <c r="N1118" s="1" t="s">
        <v>8065</v>
      </c>
    </row>
    <row r="1119" spans="1:14">
      <c r="A1119" s="1" t="s">
        <v>4787</v>
      </c>
      <c r="B1119" s="1" t="s">
        <v>4788</v>
      </c>
      <c r="C1119" s="1" t="s">
        <v>4789</v>
      </c>
      <c r="D1119" s="1" t="s">
        <v>5173</v>
      </c>
      <c r="E1119" s="1" t="s">
        <v>5344</v>
      </c>
      <c r="F1119" s="1" t="s">
        <v>5345</v>
      </c>
      <c r="I1119" s="1"/>
      <c r="J1119" s="44"/>
      <c r="K1119" s="44"/>
      <c r="L1119" s="1"/>
      <c r="M1119" s="1"/>
      <c r="N1119" s="1" t="s">
        <v>5346</v>
      </c>
    </row>
    <row r="1120" spans="1:14">
      <c r="A1120" s="1" t="s">
        <v>4304</v>
      </c>
      <c r="B1120" s="1" t="s">
        <v>4305</v>
      </c>
      <c r="C1120" s="1" t="s">
        <v>4306</v>
      </c>
      <c r="D1120" s="1" t="s">
        <v>5174</v>
      </c>
      <c r="E1120" s="1" t="s">
        <v>5726</v>
      </c>
      <c r="F1120" s="1" t="s">
        <v>1261</v>
      </c>
      <c r="I1120" s="1"/>
      <c r="J1120" s="44"/>
      <c r="K1120" s="44"/>
      <c r="L1120" s="1"/>
      <c r="M1120" s="1"/>
      <c r="N1120" s="1" t="s">
        <v>5727</v>
      </c>
    </row>
    <row r="1121" spans="1:14">
      <c r="A1121" s="1" t="s">
        <v>4637</v>
      </c>
      <c r="B1121" s="1" t="s">
        <v>4638</v>
      </c>
      <c r="C1121" s="1" t="s">
        <v>4639</v>
      </c>
      <c r="D1121" s="1" t="s">
        <v>5175</v>
      </c>
      <c r="E1121" s="1" t="s">
        <v>6010</v>
      </c>
      <c r="F1121" s="1" t="s">
        <v>1709</v>
      </c>
      <c r="I1121" s="1"/>
      <c r="J1121" s="44"/>
      <c r="K1121" s="44"/>
      <c r="L1121" s="1" t="s">
        <v>5070</v>
      </c>
      <c r="M1121" s="1" t="s">
        <v>7305</v>
      </c>
      <c r="N1121" s="1" t="s">
        <v>6011</v>
      </c>
    </row>
    <row r="1122" spans="1:14">
      <c r="A1122" s="1" t="s">
        <v>4759</v>
      </c>
      <c r="B1122" s="1" t="s">
        <v>4760</v>
      </c>
      <c r="C1122" s="1" t="s">
        <v>4761</v>
      </c>
      <c r="D1122" s="1" t="s">
        <v>5176</v>
      </c>
      <c r="E1122" s="1" t="s">
        <v>6012</v>
      </c>
      <c r="F1122" s="1" t="s">
        <v>1709</v>
      </c>
      <c r="I1122" s="1"/>
      <c r="J1122" s="44"/>
      <c r="K1122" s="44"/>
      <c r="L1122" s="1" t="s">
        <v>5713</v>
      </c>
      <c r="M1122" s="1" t="s">
        <v>11169</v>
      </c>
      <c r="N1122" s="1" t="s">
        <v>6013</v>
      </c>
    </row>
    <row r="1123" spans="1:14">
      <c r="A1123" s="1" t="s">
        <v>4684</v>
      </c>
      <c r="B1123" s="1" t="s">
        <v>4685</v>
      </c>
      <c r="C1123" s="1" t="s">
        <v>4686</v>
      </c>
      <c r="D1123" s="1" t="s">
        <v>5195</v>
      </c>
      <c r="E1123" s="1" t="s">
        <v>6014</v>
      </c>
      <c r="F1123" s="1" t="s">
        <v>3271</v>
      </c>
      <c r="I1123" s="1"/>
      <c r="J1123" s="44"/>
      <c r="K1123" s="44"/>
      <c r="L1123" s="1" t="s">
        <v>6219</v>
      </c>
      <c r="M1123" s="1"/>
      <c r="N1123" s="1" t="s">
        <v>6015</v>
      </c>
    </row>
    <row r="1124" spans="1:14">
      <c r="A1124" s="1" t="s">
        <v>4671</v>
      </c>
      <c r="B1124" s="1" t="s">
        <v>4672</v>
      </c>
      <c r="C1124" s="1" t="s">
        <v>4673</v>
      </c>
      <c r="D1124" s="1" t="s">
        <v>5196</v>
      </c>
      <c r="E1124" s="1" t="s">
        <v>6438</v>
      </c>
      <c r="F1124" s="1" t="s">
        <v>6007</v>
      </c>
      <c r="I1124" s="1"/>
      <c r="J1124" s="44"/>
      <c r="K1124" s="44"/>
      <c r="L1124" s="1" t="s">
        <v>5100</v>
      </c>
      <c r="M1124" s="1" t="s">
        <v>7910</v>
      </c>
      <c r="N1124" s="1" t="s">
        <v>6439</v>
      </c>
    </row>
    <row r="1125" spans="1:14">
      <c r="A1125" s="1" t="s">
        <v>4658</v>
      </c>
      <c r="B1125" s="1" t="s">
        <v>4659</v>
      </c>
      <c r="C1125" s="1" t="s">
        <v>4660</v>
      </c>
      <c r="D1125" s="1" t="s">
        <v>5197</v>
      </c>
      <c r="E1125" s="1" t="s">
        <v>5525</v>
      </c>
      <c r="F1125" s="1" t="s">
        <v>1709</v>
      </c>
      <c r="I1125" s="1"/>
      <c r="J1125" s="44" t="s">
        <v>5393</v>
      </c>
      <c r="K1125" s="44"/>
      <c r="L1125" s="1"/>
      <c r="M1125" s="1" t="s">
        <v>5132</v>
      </c>
      <c r="N1125" s="1" t="s">
        <v>5526</v>
      </c>
    </row>
    <row r="1126" spans="1:14">
      <c r="A1126" s="1" t="s">
        <v>4581</v>
      </c>
      <c r="B1126" s="1" t="s">
        <v>4582</v>
      </c>
      <c r="C1126" s="1" t="s">
        <v>4583</v>
      </c>
      <c r="D1126" s="1" t="s">
        <v>5198</v>
      </c>
      <c r="E1126" s="1" t="s">
        <v>7287</v>
      </c>
      <c r="F1126" s="1" t="s">
        <v>1709</v>
      </c>
      <c r="I1126" s="1"/>
      <c r="J1126" s="44"/>
      <c r="K1126" s="44" t="s">
        <v>5001</v>
      </c>
      <c r="L1126" s="1" t="s">
        <v>5212</v>
      </c>
      <c r="M1126" s="1" t="s">
        <v>6485</v>
      </c>
      <c r="N1126" s="1" t="s">
        <v>7289</v>
      </c>
    </row>
    <row r="1127" spans="1:14">
      <c r="A1127" s="1" t="s">
        <v>4862</v>
      </c>
      <c r="B1127" s="1" t="s">
        <v>4863</v>
      </c>
      <c r="C1127" s="1" t="s">
        <v>4864</v>
      </c>
      <c r="D1127" s="1" t="s">
        <v>5202</v>
      </c>
      <c r="E1127" s="1" t="s">
        <v>5530</v>
      </c>
      <c r="F1127" s="1" t="s">
        <v>1709</v>
      </c>
      <c r="I1127" s="1"/>
      <c r="J1127" s="44"/>
      <c r="K1127" s="44"/>
      <c r="L1127" s="1"/>
      <c r="M1127" s="1" t="s">
        <v>5752</v>
      </c>
      <c r="N1127" s="1" t="s">
        <v>5529</v>
      </c>
    </row>
    <row r="1128" spans="1:14">
      <c r="A1128" s="1" t="s">
        <v>4675</v>
      </c>
      <c r="B1128" s="1" t="s">
        <v>4676</v>
      </c>
      <c r="C1128" s="1" t="s">
        <v>4677</v>
      </c>
      <c r="D1128" s="1" t="s">
        <v>5205</v>
      </c>
      <c r="E1128" s="1" t="s">
        <v>6441</v>
      </c>
      <c r="F1128" s="1" t="s">
        <v>6002</v>
      </c>
      <c r="I1128" s="1"/>
      <c r="J1128" s="44" t="s">
        <v>4679</v>
      </c>
      <c r="K1128" s="44"/>
      <c r="L1128" s="1" t="s">
        <v>5784</v>
      </c>
      <c r="M1128" s="1" t="s">
        <v>6639</v>
      </c>
      <c r="N1128" s="1" t="s">
        <v>6442</v>
      </c>
    </row>
    <row r="1129" spans="1:14">
      <c r="A1129" s="1" t="s">
        <v>4352</v>
      </c>
      <c r="B1129" s="1" t="s">
        <v>4353</v>
      </c>
      <c r="C1129" s="1" t="s">
        <v>4353</v>
      </c>
      <c r="D1129" s="1" t="s">
        <v>5209</v>
      </c>
      <c r="E1129" s="1" t="s">
        <v>6445</v>
      </c>
      <c r="F1129" s="1" t="s">
        <v>6446</v>
      </c>
      <c r="I1129" s="1"/>
      <c r="J1129" s="44" t="s">
        <v>1002</v>
      </c>
      <c r="K1129" s="44"/>
      <c r="L1129" s="1" t="s">
        <v>7733</v>
      </c>
      <c r="M1129" s="1"/>
      <c r="N1129" s="1" t="s">
        <v>6447</v>
      </c>
    </row>
    <row r="1130" spans="1:14">
      <c r="A1130" s="1" t="s">
        <v>4755</v>
      </c>
      <c r="B1130" s="1" t="s">
        <v>4756</v>
      </c>
      <c r="C1130" s="1" t="s">
        <v>4757</v>
      </c>
      <c r="D1130" s="1" t="s">
        <v>5351</v>
      </c>
      <c r="E1130" s="1" t="s">
        <v>6443</v>
      </c>
      <c r="F1130" s="1" t="s">
        <v>1689</v>
      </c>
      <c r="I1130" s="1"/>
      <c r="J1130" s="44"/>
      <c r="K1130" s="44"/>
      <c r="L1130" s="1" t="s">
        <v>5620</v>
      </c>
      <c r="M1130" s="1" t="s">
        <v>7811</v>
      </c>
      <c r="N1130" s="1" t="s">
        <v>6444</v>
      </c>
    </row>
    <row r="1131" spans="1:14">
      <c r="A1131" s="1" t="s">
        <v>4667</v>
      </c>
      <c r="B1131" s="1" t="s">
        <v>4668</v>
      </c>
      <c r="C1131" s="1" t="s">
        <v>4669</v>
      </c>
      <c r="D1131" s="1" t="s">
        <v>5352</v>
      </c>
      <c r="E1131" s="1" t="s">
        <v>5728</v>
      </c>
      <c r="F1131" s="1" t="s">
        <v>2802</v>
      </c>
      <c r="I1131" s="1"/>
      <c r="J1131" s="44"/>
      <c r="K1131" s="44"/>
      <c r="L1131" s="1"/>
      <c r="M1131" s="1" t="s">
        <v>6174</v>
      </c>
      <c r="N1131" s="1" t="s">
        <v>5729</v>
      </c>
    </row>
    <row r="1132" spans="1:14">
      <c r="A1132" s="1" t="s">
        <v>4376</v>
      </c>
      <c r="B1132" s="1" t="s">
        <v>4377</v>
      </c>
      <c r="C1132" s="1" t="s">
        <v>4378</v>
      </c>
      <c r="D1132" s="1" t="s">
        <v>5353</v>
      </c>
      <c r="E1132" s="1" t="s">
        <v>6448</v>
      </c>
      <c r="F1132" s="1" t="s">
        <v>754</v>
      </c>
      <c r="I1132" s="1"/>
      <c r="J1132" s="44"/>
      <c r="K1132" s="44"/>
      <c r="L1132" s="1" t="s">
        <v>11170</v>
      </c>
      <c r="M1132" s="1" t="s">
        <v>11171</v>
      </c>
      <c r="N1132" s="1" t="s">
        <v>6449</v>
      </c>
    </row>
    <row r="1133" spans="1:14">
      <c r="A1133" s="1" t="s">
        <v>4544</v>
      </c>
      <c r="B1133" s="1" t="s">
        <v>4545</v>
      </c>
      <c r="C1133" s="1" t="s">
        <v>4546</v>
      </c>
      <c r="D1133" s="1" t="s">
        <v>5354</v>
      </c>
      <c r="E1133" s="1" t="s">
        <v>6018</v>
      </c>
      <c r="F1133" s="1" t="s">
        <v>5343</v>
      </c>
      <c r="I1133" s="1"/>
      <c r="J1133" s="44"/>
      <c r="K1133" s="44"/>
      <c r="L1133" s="1" t="s">
        <v>7045</v>
      </c>
      <c r="M1133" s="1" t="s">
        <v>7713</v>
      </c>
      <c r="N1133" s="1" t="s">
        <v>6019</v>
      </c>
    </row>
    <row r="1134" spans="1:14">
      <c r="A1134" s="1" t="s">
        <v>4774</v>
      </c>
      <c r="B1134" s="1" t="s">
        <v>4775</v>
      </c>
      <c r="C1134" s="1" t="s">
        <v>4776</v>
      </c>
      <c r="D1134" s="1" t="s">
        <v>5355</v>
      </c>
      <c r="E1134" s="1" t="s">
        <v>5838</v>
      </c>
      <c r="F1134" s="1" t="s">
        <v>5184</v>
      </c>
      <c r="I1134" s="1"/>
      <c r="J1134" s="44"/>
      <c r="K1134" s="44"/>
      <c r="L1134" s="1"/>
      <c r="M1134" s="1"/>
      <c r="N1134" s="1" t="s">
        <v>5839</v>
      </c>
    </row>
    <row r="1135" spans="1:14">
      <c r="A1135" s="1" t="s">
        <v>4742</v>
      </c>
      <c r="B1135" s="1" t="s">
        <v>4743</v>
      </c>
      <c r="C1135" s="1" t="s">
        <v>4744</v>
      </c>
      <c r="D1135" s="1" t="s">
        <v>5356</v>
      </c>
      <c r="E1135" s="1" t="s">
        <v>5730</v>
      </c>
      <c r="F1135" s="1" t="s">
        <v>754</v>
      </c>
      <c r="I1135" s="1"/>
      <c r="J1135" s="44"/>
      <c r="K1135" s="44"/>
      <c r="L1135" s="1"/>
      <c r="M1135" s="1" t="s">
        <v>7157</v>
      </c>
      <c r="N1135" s="1" t="s">
        <v>5731</v>
      </c>
    </row>
    <row r="1136" spans="1:14">
      <c r="A1136" s="1" t="s">
        <v>4040</v>
      </c>
      <c r="B1136" s="1" t="s">
        <v>4041</v>
      </c>
      <c r="C1136" s="1" t="s">
        <v>4042</v>
      </c>
      <c r="D1136" s="1" t="s">
        <v>5357</v>
      </c>
      <c r="E1136" s="1" t="s">
        <v>5371</v>
      </c>
      <c r="F1136" s="1" t="s">
        <v>5342</v>
      </c>
      <c r="I1136" s="1"/>
      <c r="J1136" s="44"/>
      <c r="K1136" s="44"/>
      <c r="L1136" s="1"/>
      <c r="M1136" s="1" t="s">
        <v>11172</v>
      </c>
      <c r="N1136" s="1" t="s">
        <v>5370</v>
      </c>
    </row>
    <row r="1137" spans="1:14">
      <c r="A1137" s="1" t="s">
        <v>4791</v>
      </c>
      <c r="B1137" s="1" t="s">
        <v>4792</v>
      </c>
      <c r="C1137" s="1" t="s">
        <v>4793</v>
      </c>
      <c r="D1137" s="1" t="s">
        <v>5358</v>
      </c>
      <c r="E1137" s="1" t="s">
        <v>6020</v>
      </c>
      <c r="F1137" s="1" t="s">
        <v>5609</v>
      </c>
      <c r="I1137" s="1"/>
      <c r="J1137" s="44" t="s">
        <v>4126</v>
      </c>
      <c r="K1137" s="44"/>
      <c r="L1137" s="1" t="s">
        <v>3488</v>
      </c>
      <c r="M1137" s="1" t="s">
        <v>7150</v>
      </c>
      <c r="N1137" s="1" t="s">
        <v>6021</v>
      </c>
    </row>
    <row r="1138" spans="1:14">
      <c r="A1138" s="1" t="s">
        <v>4624</v>
      </c>
      <c r="B1138" s="1" t="s">
        <v>4625</v>
      </c>
      <c r="C1138" s="1" t="s">
        <v>4626</v>
      </c>
      <c r="D1138" s="1" t="s">
        <v>5359</v>
      </c>
      <c r="E1138" s="1" t="s">
        <v>5732</v>
      </c>
      <c r="F1138" s="1" t="s">
        <v>1321</v>
      </c>
      <c r="I1138" s="1"/>
      <c r="J1138" s="44"/>
      <c r="K1138" s="44"/>
      <c r="L1138" s="1"/>
      <c r="M1138" s="1" t="s">
        <v>5382</v>
      </c>
      <c r="N1138" s="1" t="s">
        <v>5733</v>
      </c>
    </row>
    <row r="1139" spans="1:14">
      <c r="A1139" s="1" t="s">
        <v>4709</v>
      </c>
      <c r="B1139" s="1" t="s">
        <v>4710</v>
      </c>
      <c r="C1139" s="1" t="s">
        <v>4711</v>
      </c>
      <c r="D1139" s="1" t="s">
        <v>5360</v>
      </c>
      <c r="E1139" s="1" t="s">
        <v>6450</v>
      </c>
      <c r="F1139" s="1" t="s">
        <v>1312</v>
      </c>
      <c r="I1139" s="1"/>
      <c r="J1139" s="44"/>
      <c r="K1139" s="44"/>
      <c r="L1139" s="1" t="s">
        <v>5757</v>
      </c>
      <c r="M1139" s="1" t="s">
        <v>11173</v>
      </c>
      <c r="N1139" s="1" t="s">
        <v>6451</v>
      </c>
    </row>
    <row r="1140" spans="1:14">
      <c r="A1140" s="1" t="s">
        <v>4704</v>
      </c>
      <c r="B1140" s="1" t="s">
        <v>4705</v>
      </c>
      <c r="C1140" s="1" t="s">
        <v>4706</v>
      </c>
      <c r="D1140" s="1" t="s">
        <v>6058</v>
      </c>
      <c r="E1140" s="1" t="s">
        <v>5584</v>
      </c>
      <c r="F1140" s="1" t="s">
        <v>1158</v>
      </c>
      <c r="I1140" s="1"/>
      <c r="J1140" s="44" t="s">
        <v>4708</v>
      </c>
      <c r="K1140" s="44"/>
      <c r="L1140" s="1"/>
      <c r="M1140" s="1" t="s">
        <v>5679</v>
      </c>
      <c r="N1140" s="1" t="s">
        <v>5585</v>
      </c>
    </row>
    <row r="1141" spans="1:14">
      <c r="A1141" s="1" t="s">
        <v>4560</v>
      </c>
      <c r="B1141" s="1" t="s">
        <v>4561</v>
      </c>
      <c r="C1141" s="1" t="s">
        <v>4562</v>
      </c>
      <c r="D1141" s="1" t="s">
        <v>6452</v>
      </c>
      <c r="E1141" s="1" t="s">
        <v>6022</v>
      </c>
      <c r="F1141" s="1" t="s">
        <v>1321</v>
      </c>
      <c r="I1141" s="1"/>
      <c r="J1141" s="44"/>
      <c r="K1141" s="44"/>
      <c r="L1141" s="1" t="s">
        <v>5672</v>
      </c>
      <c r="M1141" s="1" t="s">
        <v>6076</v>
      </c>
      <c r="N1141" s="1" t="s">
        <v>6023</v>
      </c>
    </row>
    <row r="1142" spans="1:14">
      <c r="A1142" s="1" t="s">
        <v>3970</v>
      </c>
      <c r="B1142" s="1" t="s">
        <v>3971</v>
      </c>
      <c r="C1142" s="1" t="s">
        <v>3972</v>
      </c>
      <c r="D1142" s="1" t="s">
        <v>6453</v>
      </c>
      <c r="E1142" s="1" t="s">
        <v>7777</v>
      </c>
      <c r="F1142" s="1" t="s">
        <v>5795</v>
      </c>
      <c r="I1142" s="1"/>
      <c r="J1142" s="44"/>
      <c r="K1142" s="44" t="s">
        <v>5065</v>
      </c>
      <c r="L1142" s="1" t="s">
        <v>10125</v>
      </c>
      <c r="M1142" s="1" t="s">
        <v>6496</v>
      </c>
      <c r="N1142" s="1" t="s">
        <v>7744</v>
      </c>
    </row>
    <row r="1143" spans="1:14">
      <c r="A1143" s="1" t="s">
        <v>4815</v>
      </c>
      <c r="B1143" s="1" t="s">
        <v>4816</v>
      </c>
      <c r="C1143" s="1" t="s">
        <v>4817</v>
      </c>
      <c r="D1143" s="1" t="s">
        <v>6454</v>
      </c>
      <c r="E1143" s="1" t="s">
        <v>5586</v>
      </c>
      <c r="F1143" s="1" t="s">
        <v>5518</v>
      </c>
      <c r="I1143" s="1"/>
      <c r="J1143" s="44"/>
      <c r="K1143" s="44"/>
      <c r="L1143" s="1"/>
      <c r="M1143" s="1"/>
      <c r="N1143" s="1" t="s">
        <v>5587</v>
      </c>
    </row>
    <row r="1144" spans="1:14">
      <c r="A1144" s="1" t="s">
        <v>4008</v>
      </c>
      <c r="B1144" s="1" t="s">
        <v>4009</v>
      </c>
      <c r="C1144" s="1" t="s">
        <v>4010</v>
      </c>
      <c r="D1144" s="1" t="s">
        <v>6455</v>
      </c>
      <c r="E1144" s="1" t="s">
        <v>5347</v>
      </c>
      <c r="F1144" s="1" t="s">
        <v>3163</v>
      </c>
      <c r="I1144" s="1"/>
      <c r="J1144" s="44" t="s">
        <v>4012</v>
      </c>
      <c r="K1144" s="44"/>
      <c r="L1144" s="1"/>
      <c r="M1144" s="1" t="s">
        <v>11174</v>
      </c>
      <c r="N1144" s="1" t="s">
        <v>5348</v>
      </c>
    </row>
    <row r="1145" spans="1:14">
      <c r="A1145" s="1" t="s">
        <v>4878</v>
      </c>
      <c r="B1145" s="1" t="s">
        <v>4879</v>
      </c>
      <c r="C1145" s="1" t="s">
        <v>4880</v>
      </c>
      <c r="D1145" s="1" t="s">
        <v>6456</v>
      </c>
      <c r="E1145" s="1" t="s">
        <v>5363</v>
      </c>
      <c r="F1145" s="1" t="s">
        <v>5284</v>
      </c>
      <c r="I1145" s="1"/>
      <c r="J1145" s="44" t="s">
        <v>11175</v>
      </c>
      <c r="K1145" s="44"/>
      <c r="L1145" s="1"/>
      <c r="M1145" s="1" t="s">
        <v>5767</v>
      </c>
      <c r="N1145" s="1" t="s">
        <v>5364</v>
      </c>
    </row>
    <row r="1146" spans="1:14">
      <c r="A1146" s="1" t="s">
        <v>4144</v>
      </c>
      <c r="B1146" s="1" t="s">
        <v>4145</v>
      </c>
      <c r="C1146" s="1" t="s">
        <v>4146</v>
      </c>
      <c r="D1146" s="1" t="s">
        <v>6457</v>
      </c>
      <c r="E1146" s="1" t="s">
        <v>5361</v>
      </c>
      <c r="F1146" s="1" t="s">
        <v>1203</v>
      </c>
      <c r="I1146" s="1"/>
      <c r="J1146" s="44" t="s">
        <v>4148</v>
      </c>
      <c r="K1146" s="44"/>
      <c r="L1146" s="1"/>
      <c r="M1146" s="1" t="s">
        <v>5522</v>
      </c>
      <c r="N1146" s="1" t="s">
        <v>5362</v>
      </c>
    </row>
    <row r="1147" spans="1:14">
      <c r="A1147" s="1" t="s">
        <v>4416</v>
      </c>
      <c r="B1147" s="1" t="s">
        <v>4417</v>
      </c>
      <c r="C1147" s="1" t="s">
        <v>4418</v>
      </c>
      <c r="D1147" s="1" t="s">
        <v>6458</v>
      </c>
      <c r="E1147" s="1" t="s">
        <v>5349</v>
      </c>
      <c r="F1147" s="1" t="s">
        <v>2868</v>
      </c>
      <c r="I1147" s="1"/>
      <c r="J1147" s="44" t="s">
        <v>11176</v>
      </c>
      <c r="K1147" s="44"/>
      <c r="L1147" s="1"/>
      <c r="M1147" s="1" t="s">
        <v>5522</v>
      </c>
      <c r="N1147" s="1" t="s">
        <v>5350</v>
      </c>
    </row>
  </sheetData>
  <conditionalFormatting sqref="I1148:J1048576 J1:K1147">
    <cfRule type="cellIs" dxfId="107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6"/>
  <sheetViews>
    <sheetView workbookViewId="0">
      <selection activeCell="F11" sqref="F11"/>
    </sheetView>
  </sheetViews>
  <sheetFormatPr defaultRowHeight="1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5.75" thickBot="1">
      <c r="A1" s="19" t="s">
        <v>4979</v>
      </c>
      <c r="B1" s="20" t="s">
        <v>4981</v>
      </c>
      <c r="C1" s="20" t="s">
        <v>4982</v>
      </c>
      <c r="D1" s="19" t="s">
        <v>4891</v>
      </c>
      <c r="E1" s="17"/>
    </row>
    <row r="2" spans="1:5">
      <c r="A2" t="s">
        <v>4980</v>
      </c>
      <c r="B2" s="16">
        <v>4900</v>
      </c>
      <c r="C2" s="16">
        <v>2500</v>
      </c>
      <c r="D2" s="18">
        <f>(C2-B2)/B2</f>
        <v>-0.48979591836734693</v>
      </c>
    </row>
    <row r="3" spans="1:5">
      <c r="A3" t="s">
        <v>4983</v>
      </c>
      <c r="B3" s="16">
        <v>9000</v>
      </c>
      <c r="C3" s="16">
        <v>16900</v>
      </c>
      <c r="D3" s="18">
        <f>(C3-B3)/B3</f>
        <v>0.87777777777777777</v>
      </c>
    </row>
    <row r="4" spans="1:5">
      <c r="A4" t="s">
        <v>4980</v>
      </c>
      <c r="B4" s="16">
        <v>-1500</v>
      </c>
      <c r="C4" s="16">
        <v>-1500</v>
      </c>
      <c r="D4" s="21"/>
    </row>
    <row r="5" spans="1:5">
      <c r="A5" t="s">
        <v>4983</v>
      </c>
      <c r="B5" s="16">
        <v>-1000</v>
      </c>
      <c r="C5" s="16">
        <v>-1000</v>
      </c>
      <c r="D5" s="21"/>
    </row>
    <row r="6" spans="1:5">
      <c r="A6" t="s">
        <v>4889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>
      <c r="B10" s="25"/>
    </row>
    <row r="13" spans="1:5">
      <c r="A13" s="101" t="s">
        <v>6459</v>
      </c>
      <c r="B13" s="101"/>
      <c r="D13">
        <f>804.87*9</f>
        <v>7243.83</v>
      </c>
    </row>
    <row r="14" spans="1:5">
      <c r="A14" t="s">
        <v>6114</v>
      </c>
      <c r="B14" s="16">
        <v>33604.199999999997</v>
      </c>
    </row>
    <row r="15" spans="1:5">
      <c r="B15" s="16">
        <f>Table1[[#Totals],[MV]]</f>
        <v>16900</v>
      </c>
    </row>
    <row r="16" spans="1:5">
      <c r="A16" t="s">
        <v>4886</v>
      </c>
      <c r="B16" s="16">
        <f>B14-B15</f>
        <v>16704.199999999997</v>
      </c>
      <c r="E16">
        <f>10004/5000</f>
        <v>2.0007999999999999</v>
      </c>
    </row>
  </sheetData>
  <mergeCells count="1">
    <mergeCell ref="A13:B1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workbookViewId="0">
      <selection activeCell="L9" sqref="L9"/>
    </sheetView>
  </sheetViews>
  <sheetFormatPr defaultRowHeight="1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5.75" thickBot="1">
      <c r="A1" s="2" t="s">
        <v>4882</v>
      </c>
      <c r="B1" s="3" t="s">
        <v>4883</v>
      </c>
      <c r="C1" s="3" t="s">
        <v>4884</v>
      </c>
      <c r="D1" s="3" t="s">
        <v>4885</v>
      </c>
      <c r="E1" s="4" t="s">
        <v>4886</v>
      </c>
    </row>
    <row r="2" spans="1:8" ht="15.75" thickBot="1">
      <c r="A2" s="5">
        <v>42928</v>
      </c>
      <c r="B2" s="6" t="s">
        <v>4887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5.75" thickBot="1">
      <c r="A3" s="5">
        <v>42947</v>
      </c>
      <c r="B3" s="6" t="s">
        <v>4887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5.75" thickBot="1">
      <c r="A4" s="5">
        <v>42951</v>
      </c>
      <c r="B4" s="6" t="s">
        <v>4887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5.75" thickBot="1">
      <c r="A5" s="5">
        <v>42956</v>
      </c>
      <c r="B5" s="6" t="s">
        <v>4887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5.75" thickBot="1">
      <c r="A6" s="5">
        <v>42958</v>
      </c>
      <c r="B6" s="6" t="s">
        <v>4887</v>
      </c>
      <c r="C6" s="7">
        <v>105.98</v>
      </c>
      <c r="D6" s="7">
        <v>3.98</v>
      </c>
      <c r="E6" s="8">
        <v>102</v>
      </c>
      <c r="H6" s="27"/>
    </row>
    <row r="7" spans="1:8" ht="15.75" thickBot="1">
      <c r="A7" s="5">
        <v>42963</v>
      </c>
      <c r="B7" s="6" t="s">
        <v>4887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5.75" thickBot="1">
      <c r="A8" s="5">
        <v>42965</v>
      </c>
      <c r="B8" s="6" t="s">
        <v>4887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5.75" thickBot="1">
      <c r="A9" s="5">
        <v>42968</v>
      </c>
      <c r="B9" s="6" t="s">
        <v>4887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5.75" thickBot="1">
      <c r="A10" s="5">
        <v>42970</v>
      </c>
      <c r="B10" s="6" t="s">
        <v>4887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5.75" thickBot="1">
      <c r="A11" s="5">
        <v>42975</v>
      </c>
      <c r="B11" s="6" t="s">
        <v>4887</v>
      </c>
      <c r="C11" s="7">
        <v>103.9</v>
      </c>
      <c r="D11" s="7">
        <v>3.9</v>
      </c>
      <c r="E11" s="8">
        <v>100</v>
      </c>
      <c r="H11" s="27"/>
    </row>
    <row r="12" spans="1:8" ht="15.75" thickBot="1">
      <c r="A12" s="5">
        <v>42976</v>
      </c>
      <c r="B12" s="6" t="s">
        <v>4887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5.75" thickBot="1">
      <c r="A13" s="5">
        <v>42980</v>
      </c>
      <c r="B13" s="6" t="s">
        <v>4887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5.75" thickBot="1">
      <c r="A14" s="5">
        <v>42982</v>
      </c>
      <c r="B14" s="6" t="s">
        <v>4887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5.75" thickBot="1">
      <c r="A15" s="5">
        <v>42988</v>
      </c>
      <c r="B15" s="6" t="s">
        <v>4887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5.75" thickBot="1">
      <c r="A16" s="9">
        <v>42987</v>
      </c>
      <c r="B16" s="6" t="s">
        <v>4887</v>
      </c>
      <c r="C16" s="7">
        <v>103.9</v>
      </c>
      <c r="D16" s="7">
        <v>3.9</v>
      </c>
      <c r="E16" s="8">
        <v>100</v>
      </c>
      <c r="H16" s="27"/>
    </row>
    <row r="17" spans="1:5" ht="15.75" thickBot="1">
      <c r="A17" s="5">
        <v>42963</v>
      </c>
      <c r="B17" s="6" t="s">
        <v>4888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5.75" thickBot="1">
      <c r="A18" s="5">
        <v>42976</v>
      </c>
      <c r="B18" s="6" t="s">
        <v>4888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5.75" thickBot="1">
      <c r="A19" s="5">
        <v>42978</v>
      </c>
      <c r="B19" s="6" t="s">
        <v>4888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5.75" thickBot="1">
      <c r="A20" s="5">
        <v>42983</v>
      </c>
      <c r="B20" s="6" t="s">
        <v>4888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5.75" thickBot="1">
      <c r="A21" s="5">
        <v>42985</v>
      </c>
      <c r="B21" s="10" t="s">
        <v>4888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5.75" thickBot="1">
      <c r="A22" s="9">
        <v>42993</v>
      </c>
      <c r="B22" s="10" t="s">
        <v>4887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5.75" thickBot="1">
      <c r="A23" s="23">
        <v>42995</v>
      </c>
      <c r="B23" s="10" t="s">
        <v>4887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5.75" thickBot="1">
      <c r="A24" s="23">
        <v>42996</v>
      </c>
      <c r="B24" s="10" t="s">
        <v>5004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5.75" thickBot="1">
      <c r="A25" s="23">
        <v>42999</v>
      </c>
      <c r="B25" s="10" t="s">
        <v>4887</v>
      </c>
      <c r="C25" s="24">
        <v>155.97999999999999</v>
      </c>
      <c r="D25" s="7">
        <v>5.98</v>
      </c>
      <c r="E25" s="8">
        <v>150</v>
      </c>
    </row>
    <row r="26" spans="1:5" ht="15.75" thickBot="1">
      <c r="A26" s="23">
        <v>43000</v>
      </c>
      <c r="B26" s="10" t="s">
        <v>4887</v>
      </c>
      <c r="C26" s="24">
        <v>207.98</v>
      </c>
      <c r="D26" s="7">
        <v>7.98</v>
      </c>
      <c r="E26" s="8">
        <v>200</v>
      </c>
    </row>
    <row r="27" spans="1:5" ht="15.75" thickBot="1">
      <c r="A27" s="23">
        <v>43001</v>
      </c>
      <c r="B27" s="10" t="s">
        <v>4887</v>
      </c>
      <c r="C27" s="24">
        <v>103.99</v>
      </c>
      <c r="D27" s="7">
        <v>3.99</v>
      </c>
      <c r="E27" s="8">
        <v>100</v>
      </c>
    </row>
    <row r="28" spans="1:5" ht="15.75" thickBot="1">
      <c r="A28" s="23">
        <v>43010</v>
      </c>
      <c r="B28" s="10" t="s">
        <v>4887</v>
      </c>
      <c r="C28" s="24">
        <v>207.98</v>
      </c>
      <c r="D28" s="7">
        <v>7.98</v>
      </c>
      <c r="E28" s="8">
        <v>200</v>
      </c>
    </row>
    <row r="29" spans="1:5" ht="15.75" thickBot="1">
      <c r="A29" s="23">
        <v>43010</v>
      </c>
      <c r="B29" s="10" t="s">
        <v>4887</v>
      </c>
      <c r="C29" s="24">
        <v>207.98</v>
      </c>
      <c r="D29" s="7">
        <v>7.98</v>
      </c>
      <c r="E29" s="8">
        <v>200</v>
      </c>
    </row>
    <row r="30" spans="1:5">
      <c r="A30" s="12" t="s">
        <v>4889</v>
      </c>
      <c r="B30" s="13"/>
      <c r="C30" s="15">
        <f>SUBTOTAL(109,Table3[Deposited])</f>
        <v>4234.0300000000007</v>
      </c>
      <c r="D30" s="15">
        <f>SUBTOTAL(109,Table3[Commisson])</f>
        <v>164.10725999999997</v>
      </c>
      <c r="E30" s="14">
        <f>SUBTOTAL(109,Table3[Remaining])</f>
        <v>4071.7793900000001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37"/>
  <sheetViews>
    <sheetView topLeftCell="H17" workbookViewId="0">
      <selection activeCell="L20" sqref="L20"/>
    </sheetView>
  </sheetViews>
  <sheetFormatPr defaultRowHeight="15"/>
  <cols>
    <col min="1" max="1" width="12" style="47" bestFit="1" customWidth="1"/>
    <col min="2" max="2" width="8.5703125" style="47" bestFit="1" customWidth="1"/>
    <col min="3" max="5" width="14.85546875" style="47" customWidth="1"/>
    <col min="6" max="6" width="16.85546875" style="47" customWidth="1"/>
    <col min="7" max="7" width="14.140625" style="47" customWidth="1"/>
    <col min="8" max="10" width="19.140625" style="47" customWidth="1"/>
    <col min="11" max="16384" width="9.140625" style="47"/>
  </cols>
  <sheetData>
    <row r="1" spans="1:14">
      <c r="A1" s="46" t="s">
        <v>57</v>
      </c>
      <c r="H1" s="46" t="s">
        <v>59</v>
      </c>
      <c r="I1" s="48"/>
      <c r="J1" s="48"/>
    </row>
    <row r="2" spans="1:14" ht="15.75" thickBot="1">
      <c r="A2" s="49" t="s">
        <v>0</v>
      </c>
      <c r="B2" s="50" t="s">
        <v>4890</v>
      </c>
      <c r="C2" s="50" t="s">
        <v>4909</v>
      </c>
      <c r="D2" s="50" t="s">
        <v>4897</v>
      </c>
      <c r="E2" s="50" t="s">
        <v>5238</v>
      </c>
      <c r="F2" s="50" t="s">
        <v>4977</v>
      </c>
      <c r="G2" s="50" t="s">
        <v>4978</v>
      </c>
      <c r="H2" s="51" t="s">
        <v>5617</v>
      </c>
      <c r="I2" s="52" t="s">
        <v>5616</v>
      </c>
      <c r="J2" s="51" t="s">
        <v>5613</v>
      </c>
      <c r="K2" s="47" t="s">
        <v>5618</v>
      </c>
    </row>
    <row r="3" spans="1:14" ht="15.75" thickBot="1">
      <c r="A3" s="53" t="s">
        <v>364</v>
      </c>
      <c r="B3" s="54">
        <v>2730.78</v>
      </c>
      <c r="C3" s="55">
        <f>Table4[[#This Row],[Column1]]/Table4[[#Totals],[Column1]]</f>
        <v>0.21204845494309224</v>
      </c>
      <c r="D3" s="56">
        <v>0.222387</v>
      </c>
      <c r="E3" s="80">
        <f>Table4[[#This Row],[USD]]*Table4[[#This Row],[Qty]]</f>
        <v>607.28997186000004</v>
      </c>
      <c r="F3" s="57">
        <v>7.8402500000000004E-4</v>
      </c>
      <c r="G3" s="58">
        <f>Table4[[#This Row],[Qty]]*Table4[[#This Row],[Book Value ETH]]</f>
        <v>2.1409997895000004</v>
      </c>
      <c r="H3" s="59" t="str">
        <f>IFERROR(INDEX(Ticker!$1:$1048576,MATCH(Portfolio!$A3,Ticker!$C:$C,0),MATCH(Portfolio!$H$1,Ticker!$1:$1,0)),0)</f>
        <v>0.141978</v>
      </c>
      <c r="I3" s="60">
        <f>H3*Table4[[#This Row],[Qty]]</f>
        <v>387.71068284</v>
      </c>
      <c r="J3" s="60">
        <f>I3-Table4[[#This Row],[Column1]]</f>
        <v>-219.57928902000003</v>
      </c>
      <c r="K3" s="61">
        <f>(I3-E3)/E3</f>
        <v>-0.3615723940697973</v>
      </c>
      <c r="N3" s="62"/>
    </row>
    <row r="4" spans="1:14" ht="15.75" thickBot="1">
      <c r="A4" s="53" t="s">
        <v>3</v>
      </c>
      <c r="B4" s="54">
        <v>9.1200000000000003E-2</v>
      </c>
      <c r="C4" s="55">
        <f>Table4[[#This Row],[Column1]]/Table4[[#Totals],[Column1]]</f>
        <v>0.14072065326642727</v>
      </c>
      <c r="D4" s="63">
        <v>4419</v>
      </c>
      <c r="E4" s="81">
        <f>Table4[[#This Row],[USD]]*Table4[[#This Row],[Qty]]</f>
        <v>403.01280000000003</v>
      </c>
      <c r="F4" s="64"/>
      <c r="G4" s="58">
        <f>Table4[[#This Row],[Qty]]*Table4[[#This Row],[Book Value ETH]]</f>
        <v>0</v>
      </c>
      <c r="H4" s="59" t="str">
        <f>IFERROR(INDEX(Ticker!$1:$1048576,MATCH(Portfolio!$A4,Ticker!$C:$C,0),MATCH(Portfolio!$H$1,Ticker!$1:$1,0)),0)</f>
        <v>4371.17</v>
      </c>
      <c r="I4" s="60">
        <f>H4*Table4[[#This Row],[Qty]]</f>
        <v>398.65070400000002</v>
      </c>
      <c r="J4" s="60">
        <f>I4-Table4[[#This Row],[Column1]]</f>
        <v>-4.3620960000000082</v>
      </c>
      <c r="K4" s="61">
        <f t="shared" ref="K4:K30" si="0">(I4-E4)/E4</f>
        <v>-1.0823715772799296E-2</v>
      </c>
    </row>
    <row r="5" spans="1:14" ht="15.75" thickBot="1">
      <c r="A5" s="65" t="s">
        <v>131</v>
      </c>
      <c r="B5" s="54">
        <v>135.72</v>
      </c>
      <c r="C5" s="55">
        <f>Table4[[#This Row],[Column1]]/Table4[[#Totals],[Column1]]</f>
        <v>0.11752615676740884</v>
      </c>
      <c r="D5" s="63">
        <v>2.48</v>
      </c>
      <c r="E5" s="81">
        <f>Table4[[#This Row],[USD]]*Table4[[#This Row],[Qty]]</f>
        <v>336.5856</v>
      </c>
      <c r="F5" s="57">
        <v>8.4100000000000008E-3</v>
      </c>
      <c r="G5" s="58">
        <f>Table4[[#This Row],[Qty]]*Table4[[#This Row],[Book Value ETH]]</f>
        <v>1.1414052000000001</v>
      </c>
      <c r="H5" s="59" t="str">
        <f>IFERROR(INDEX(Ticker!$1:$1048576,MATCH(Portfolio!$A5,Ticker!$C:$C,0),MATCH(Portfolio!$H$1,Ticker!$1:$1,0)),0)</f>
        <v>2.1094</v>
      </c>
      <c r="I5" s="60">
        <f>H5*Table4[[#This Row],[Qty]]</f>
        <v>286.28776799999997</v>
      </c>
      <c r="J5" s="60">
        <f>I5-Table4[[#This Row],[Column1]]</f>
        <v>-50.297832000000028</v>
      </c>
      <c r="K5" s="61">
        <f t="shared" si="0"/>
        <v>-0.14943548387096783</v>
      </c>
      <c r="M5" s="47" t="s">
        <v>5638</v>
      </c>
    </row>
    <row r="6" spans="1:14" ht="15.75" thickBot="1">
      <c r="A6" s="65" t="s">
        <v>4993</v>
      </c>
      <c r="B6" s="54">
        <v>2333</v>
      </c>
      <c r="C6" s="55">
        <f>Table4[[#This Row],[Column1]]/Table4[[#Totals],[Column1]]</f>
        <v>7.1335240828023741E-2</v>
      </c>
      <c r="D6" s="66">
        <v>8.7568999999999994E-2</v>
      </c>
      <c r="E6" s="82">
        <f>Table4[[#This Row],[USD]]*Table4[[#This Row],[Qty]]</f>
        <v>204.29847699999999</v>
      </c>
      <c r="F6" s="57">
        <v>2.52592E-4</v>
      </c>
      <c r="G6" s="58">
        <f>Table4[[#This Row],[Qty]]*Table4[[#This Row],[Book Value ETH]]</f>
        <v>0.589297136</v>
      </c>
      <c r="H6" s="59">
        <f>IFERROR(INDEX(Ticker!$1:$1048576,MATCH(Portfolio!$A6,Ticker!$C:$C,0),MATCH(Portfolio!$H$1,Ticker!$1:$1,0)),0)</f>
        <v>0</v>
      </c>
      <c r="I6" s="60">
        <f>H6*Table4[[#This Row],[Qty]]</f>
        <v>0</v>
      </c>
      <c r="J6" s="60">
        <f>I6-Table4[[#This Row],[Column1]]</f>
        <v>-204.29847699999999</v>
      </c>
      <c r="K6" s="61">
        <f t="shared" si="0"/>
        <v>-1</v>
      </c>
    </row>
    <row r="7" spans="1:14" ht="15.75" thickBot="1">
      <c r="A7" s="53" t="s">
        <v>5161</v>
      </c>
      <c r="B7" s="54">
        <v>494</v>
      </c>
      <c r="C7" s="55">
        <f>Table4[[#This Row],[Column1]]/Table4[[#Totals],[Column1]]</f>
        <v>6.0371782111548991E-2</v>
      </c>
      <c r="D7" s="63">
        <v>0.35</v>
      </c>
      <c r="E7" s="81">
        <f>Table4[[#This Row],[USD]]*Table4[[#This Row],[Qty]]</f>
        <v>172.89999999999998</v>
      </c>
      <c r="F7" s="57">
        <v>1.191E-3</v>
      </c>
      <c r="G7" s="58">
        <f>Table4[[#This Row],[Qty]]*Table4[[#This Row],[Book Value ETH]]</f>
        <v>0.58835400000000004</v>
      </c>
      <c r="H7" s="59" t="str">
        <f>IFERROR(INDEX(Ticker!$1:$1048576,MATCH(Portfolio!$A7,Ticker!$C:$C,0),MATCH(Portfolio!$H$1,Ticker!$1:$1,0)),0)</f>
        <v>0.123986</v>
      </c>
      <c r="I7" s="60">
        <f>H7*Table4[[#This Row],[Qty]]</f>
        <v>61.249083999999996</v>
      </c>
      <c r="J7" s="60">
        <f>I7-Table4[[#This Row],[Column1]]</f>
        <v>-111.65091599999998</v>
      </c>
      <c r="K7" s="61">
        <f t="shared" si="0"/>
        <v>-0.64575428571428573</v>
      </c>
    </row>
    <row r="8" spans="1:14" ht="15.75" thickBot="1">
      <c r="A8" s="53" t="s">
        <v>105</v>
      </c>
      <c r="B8" s="54">
        <v>54.61</v>
      </c>
      <c r="C8" s="55">
        <f>Table4[[#This Row],[Column1]]/Table4[[#Totals],[Column1]]</f>
        <v>5.243772879153933E-2</v>
      </c>
      <c r="D8" s="67">
        <v>2.75</v>
      </c>
      <c r="E8" s="83">
        <f>Table4[[#This Row],[USD]]*Table4[[#This Row],[Qty]]</f>
        <v>150.17750000000001</v>
      </c>
      <c r="F8" s="68">
        <v>6.1435999999999999E-4</v>
      </c>
      <c r="G8" s="58">
        <f>Table4[[#This Row],[Qty]]*Table4[[#This Row],[Book Value ETH]]</f>
        <v>3.3550199599999997E-2</v>
      </c>
      <c r="H8" s="59" t="str">
        <f>IFERROR(INDEX(Ticker!$1:$1048576,MATCH(Portfolio!$A8,Ticker!$C:$C,0),MATCH(Portfolio!$H$1,Ticker!$1:$1,0)),0)</f>
        <v>2.58663</v>
      </c>
      <c r="I8" s="60">
        <f>H8*Table4[[#This Row],[Qty]]</f>
        <v>141.25586429999998</v>
      </c>
      <c r="J8" s="60">
        <f>I8-Table4[[#This Row],[Column1]]</f>
        <v>-8.9216357000000244</v>
      </c>
      <c r="K8" s="61">
        <f t="shared" si="0"/>
        <v>-5.9407272727272885E-2</v>
      </c>
    </row>
    <row r="9" spans="1:14" ht="15.75" thickBot="1">
      <c r="A9" s="53" t="s">
        <v>1232</v>
      </c>
      <c r="B9" s="54">
        <v>3100</v>
      </c>
      <c r="C9" s="55">
        <f>Table4[[#This Row],[Column1]]/Table4[[#Totals],[Column1]]</f>
        <v>4.7431095853513551E-2</v>
      </c>
      <c r="D9" s="66">
        <v>4.3818999999999997E-2</v>
      </c>
      <c r="E9" s="82">
        <f>Table4[[#This Row],[USD]]*Table4[[#This Row],[Qty]]</f>
        <v>135.8389</v>
      </c>
      <c r="F9" s="57">
        <v>1.42857E-4</v>
      </c>
      <c r="G9" s="58">
        <f>Table4[[#This Row],[Qty]]*Table4[[#This Row],[Book Value ETH]]</f>
        <v>0.44285669999999999</v>
      </c>
      <c r="H9" s="59" t="str">
        <f>IFERROR(INDEX(Ticker!$1:$1048576,MATCH(Portfolio!$A9,Ticker!$C:$C,0),MATCH(Portfolio!$H$1,Ticker!$1:$1,0)),0)</f>
        <v>0.0308583</v>
      </c>
      <c r="I9" s="60">
        <f>H9*Table4[[#This Row],[Qty]]</f>
        <v>95.660730000000001</v>
      </c>
      <c r="J9" s="60">
        <f>I9-Table4[[#This Row],[Column1]]</f>
        <v>-40.178169999999994</v>
      </c>
      <c r="K9" s="61">
        <f t="shared" si="0"/>
        <v>-0.29577808713115311</v>
      </c>
    </row>
    <row r="10" spans="1:14" ht="15.75" thickBot="1">
      <c r="A10" s="65" t="s">
        <v>232</v>
      </c>
      <c r="B10" s="54">
        <v>507</v>
      </c>
      <c r="C10" s="55">
        <f>Table4[[#This Row],[Column1]]/Table4[[#Totals],[Column1]]</f>
        <v>3.7176307931848597E-2</v>
      </c>
      <c r="D10" s="69">
        <v>0.21</v>
      </c>
      <c r="E10" s="84">
        <f>Table4[[#This Row],[USD]]*Table4[[#This Row],[Qty]]</f>
        <v>106.47</v>
      </c>
      <c r="F10" s="57">
        <v>5.3957899999999999E-4</v>
      </c>
      <c r="G10" s="58">
        <f>Table4[[#This Row],[Qty]]*Table4[[#This Row],[Book Value ETH]]</f>
        <v>0.27356655299999999</v>
      </c>
      <c r="H10" s="59" t="str">
        <f>IFERROR(INDEX(Ticker!$1:$1048576,MATCH(Portfolio!$A10,Ticker!$C:$C,0),MATCH(Portfolio!$H$1,Ticker!$1:$1,0)),0)</f>
        <v>0.198917</v>
      </c>
      <c r="I10" s="60">
        <f>H10*Table4[[#This Row],[Qty]]</f>
        <v>100.850919</v>
      </c>
      <c r="J10" s="60">
        <f>I10-Table4[[#This Row],[Column1]]</f>
        <v>-5.6190809999999942</v>
      </c>
      <c r="K10" s="61">
        <f t="shared" si="0"/>
        <v>-5.2776190476190421E-2</v>
      </c>
    </row>
    <row r="11" spans="1:14" ht="15.75" thickBot="1">
      <c r="A11" s="65" t="s">
        <v>157</v>
      </c>
      <c r="B11" s="54">
        <v>0</v>
      </c>
      <c r="C11" s="55">
        <f>Table4[[#This Row],[Column1]]/Table4[[#Totals],[Column1]]</f>
        <v>0</v>
      </c>
      <c r="D11" s="69">
        <v>0.23807300000000001</v>
      </c>
      <c r="E11" s="84">
        <f>Table4[[#This Row],[USD]]*Table4[[#This Row],[Qty]]</f>
        <v>0</v>
      </c>
      <c r="F11" s="57">
        <v>8.3659499999999998E-4</v>
      </c>
      <c r="G11" s="58">
        <f>Table4[[#This Row],[Qty]]*Table4[[#This Row],[Book Value ETH]]</f>
        <v>0</v>
      </c>
      <c r="H11" s="59" t="str">
        <f>IFERROR(INDEX(Ticker!$1:$1048576,MATCH(Portfolio!$A11,Ticker!$C:$C,0),MATCH(Portfolio!$H$1,Ticker!$1:$1,0)),0)</f>
        <v>0.225791</v>
      </c>
      <c r="I11" s="60">
        <f>H11*Table4[[#This Row],[Qty]]</f>
        <v>0</v>
      </c>
      <c r="J11" s="60">
        <f>I11-Table4[[#This Row],[Column1]]</f>
        <v>0</v>
      </c>
      <c r="K11" s="61" t="e">
        <f t="shared" si="0"/>
        <v>#DIV/0!</v>
      </c>
    </row>
    <row r="12" spans="1:14" ht="15.75" thickBot="1">
      <c r="A12" s="65" t="s">
        <v>223</v>
      </c>
      <c r="B12" s="54">
        <v>194</v>
      </c>
      <c r="C12" s="55">
        <f>Table4[[#This Row],[Column1]]/Table4[[#Totals],[Column1]]</f>
        <v>2.6178396097312959E-2</v>
      </c>
      <c r="D12" s="69">
        <v>0.38645800000000002</v>
      </c>
      <c r="E12" s="84">
        <f>Table4[[#This Row],[USD]]*Table4[[#This Row],[Qty]]</f>
        <v>74.972852000000003</v>
      </c>
      <c r="F12" s="57">
        <v>1.4101369999999999E-3</v>
      </c>
      <c r="G12" s="58">
        <f>Table4[[#This Row],[Qty]]*Table4[[#This Row],[Book Value ETH]]</f>
        <v>0.273566578</v>
      </c>
      <c r="H12" s="59" t="str">
        <f>IFERROR(INDEX(Ticker!$1:$1048576,MATCH(Portfolio!$A12,Ticker!$C:$C,0),MATCH(Portfolio!$H$1,Ticker!$1:$1,0)),0)</f>
        <v>0.344555</v>
      </c>
      <c r="I12" s="60">
        <f>H12*Table4[[#This Row],[Qty]]</f>
        <v>66.843670000000003</v>
      </c>
      <c r="J12" s="60">
        <f>I12-Table4[[#This Row],[Column1]]</f>
        <v>-8.1291820000000001</v>
      </c>
      <c r="K12" s="61">
        <f t="shared" si="0"/>
        <v>-0.10842834150153445</v>
      </c>
    </row>
    <row r="13" spans="1:14" ht="15.75" thickBot="1">
      <c r="A13" s="53" t="s">
        <v>175</v>
      </c>
      <c r="B13" s="54">
        <v>9000</v>
      </c>
      <c r="C13" s="55">
        <f>Table4[[#This Row],[Column1]]/Table4[[#Totals],[Column1]]</f>
        <v>2.6174257714654856E-2</v>
      </c>
      <c r="D13" s="56">
        <v>8.3289999999999996E-3</v>
      </c>
      <c r="E13" s="80">
        <f>Table4[[#This Row],[USD]]*Table4[[#This Row],[Qty]]</f>
        <v>74.960999999999999</v>
      </c>
      <c r="F13" s="57">
        <v>3.3400000000000002E-6</v>
      </c>
      <c r="G13" s="58">
        <f>Table4[[#This Row],[Qty]]*Table4[[#This Row],[Book Value ETH]]</f>
        <v>3.0060000000000003E-2</v>
      </c>
      <c r="H13" s="59" t="str">
        <f>IFERROR(INDEX(Ticker!$1:$1048576,MATCH(Portfolio!$A13,Ticker!$C:$C,0),MATCH(Portfolio!$H$1,Ticker!$1:$1,0)),0)</f>
        <v>0.00457117</v>
      </c>
      <c r="I13" s="60">
        <f>H13*Table4[[#This Row],[Qty]]</f>
        <v>41.140530000000005</v>
      </c>
      <c r="J13" s="60">
        <f>I13-Table4[[#This Row],[Column1]]</f>
        <v>-33.820469999999993</v>
      </c>
      <c r="K13" s="61">
        <f t="shared" si="0"/>
        <v>-0.45117421058950646</v>
      </c>
    </row>
    <row r="14" spans="1:14" ht="15.75" thickBot="1">
      <c r="A14" s="53" t="s">
        <v>500</v>
      </c>
      <c r="B14" s="54">
        <f>3139-2333</f>
        <v>806</v>
      </c>
      <c r="C14" s="55">
        <f>Table4[[#This Row],[Column1]]/Table4[[#Totals],[Column1]]</f>
        <v>2.464475101045312E-2</v>
      </c>
      <c r="D14" s="70">
        <v>8.7568999999999994E-2</v>
      </c>
      <c r="E14" s="85">
        <f>Table4[[#This Row],[USD]]*Table4[[#This Row],[Qty]]</f>
        <v>70.580613999999997</v>
      </c>
      <c r="F14" s="57">
        <v>2.52592E-4</v>
      </c>
      <c r="G14" s="58">
        <f>Table4[[#This Row],[Qty]]*Table4[[#This Row],[Book Value ETH]]</f>
        <v>0.203589152</v>
      </c>
      <c r="H14" s="59" t="str">
        <f>IFERROR(INDEX(Ticker!$1:$1048576,MATCH(Portfolio!$A14,Ticker!$C:$C,0),MATCH(Portfolio!$H$1,Ticker!$1:$1,0)),0)</f>
        <v>0.0476608</v>
      </c>
      <c r="I14" s="60">
        <f>H14*Table4[[#This Row],[Qty]]</f>
        <v>38.414604799999999</v>
      </c>
      <c r="J14" s="60">
        <f>I14-Table4[[#This Row],[Column1]]</f>
        <v>-32.166009199999998</v>
      </c>
      <c r="K14" s="61">
        <f t="shared" si="0"/>
        <v>-0.45573433520994872</v>
      </c>
    </row>
    <row r="15" spans="1:14" ht="15.75" thickBot="1">
      <c r="A15" s="65" t="s">
        <v>51</v>
      </c>
      <c r="B15" s="54">
        <v>2</v>
      </c>
      <c r="C15" s="55">
        <f>Table4[[#This Row],[Column1]]/Table4[[#Totals],[Column1]]</f>
        <v>2.4442017049210122E-2</v>
      </c>
      <c r="D15" s="63">
        <v>35</v>
      </c>
      <c r="E15" s="81">
        <f>Table4[[#This Row],[USD]]*Table4[[#This Row],[Qty]]</f>
        <v>70</v>
      </c>
      <c r="F15" s="64">
        <v>1.0884445E-2</v>
      </c>
      <c r="G15" s="58">
        <f>Table4[[#This Row],[Qty]]*Table4[[#This Row],[Book Value ETH]]</f>
        <v>2.1768889999999999E-2</v>
      </c>
      <c r="H15" s="59" t="str">
        <f>IFERROR(INDEX(Ticker!$1:$1048576,MATCH(Portfolio!$A15,Ticker!$C:$C,0),MATCH(Portfolio!$H$1,Ticker!$1:$1,0)),0)</f>
        <v>34.1041</v>
      </c>
      <c r="I15" s="60">
        <f>H15*Table4[[#This Row],[Qty]]</f>
        <v>68.208200000000005</v>
      </c>
      <c r="J15" s="60">
        <f>I15-Table4[[#This Row],[Column1]]</f>
        <v>-1.791799999999995</v>
      </c>
      <c r="K15" s="61">
        <f t="shared" si="0"/>
        <v>-2.5597142857142784E-2</v>
      </c>
    </row>
    <row r="16" spans="1:14" ht="15.75" thickBot="1">
      <c r="A16" s="65" t="s">
        <v>37</v>
      </c>
      <c r="B16" s="54">
        <v>100</v>
      </c>
      <c r="C16" s="55">
        <f>Table4[[#This Row],[Column1]]/Table4[[#Totals],[Column1]]</f>
        <v>2.2696158688552254E-2</v>
      </c>
      <c r="D16" s="71">
        <v>0.65</v>
      </c>
      <c r="E16" s="86">
        <f>Table4[[#This Row],[USD]]*Table4[[#This Row],[Qty]]</f>
        <v>65</v>
      </c>
      <c r="F16" s="72">
        <v>2.333E-3</v>
      </c>
      <c r="G16" s="58">
        <f>Table4[[#This Row],[Qty]]*Table4[[#This Row],[Book Value ETH]]</f>
        <v>0.23330000000000001</v>
      </c>
      <c r="H16" s="59" t="str">
        <f>IFERROR(INDEX(Ticker!$1:$1048576,MATCH(Portfolio!$A16,Ticker!$C:$C,0),MATCH(Portfolio!$H$1,Ticker!$1:$1,0)),0)</f>
        <v>0.517871</v>
      </c>
      <c r="I16" s="60">
        <f>H16*Table4[[#This Row],[Qty]]</f>
        <v>51.787099999999995</v>
      </c>
      <c r="J16" s="60">
        <f>I16-Table4[[#This Row],[Column1]]</f>
        <v>-13.212900000000005</v>
      </c>
      <c r="K16" s="61">
        <f t="shared" si="0"/>
        <v>-0.20327538461538469</v>
      </c>
    </row>
    <row r="17" spans="1:11" ht="15.75" thickBot="1">
      <c r="A17" s="53" t="s">
        <v>769</v>
      </c>
      <c r="B17" s="54">
        <v>560</v>
      </c>
      <c r="C17" s="55">
        <f>Table4[[#This Row],[Column1]]/Table4[[#Totals],[Column1]]</f>
        <v>2.0189106082647561E-2</v>
      </c>
      <c r="D17" s="56">
        <v>0.10324999999999999</v>
      </c>
      <c r="E17" s="80">
        <f>Table4[[#This Row],[USD]]*Table4[[#This Row],[Qty]]</f>
        <v>57.82</v>
      </c>
      <c r="F17" s="57">
        <v>3.5378200000000002E-4</v>
      </c>
      <c r="G17" s="58">
        <f>Table4[[#This Row],[Qty]]*Table4[[#This Row],[Book Value ETH]]</f>
        <v>0.19811792</v>
      </c>
      <c r="H17" s="59" t="str">
        <f>IFERROR(INDEX(Ticker!$1:$1048576,MATCH(Portfolio!$A17,Ticker!$C:$C,0),MATCH(Portfolio!$H$1,Ticker!$1:$1,0)),0)</f>
        <v>0.0697039</v>
      </c>
      <c r="I17" s="60">
        <f>H17*Table4[[#This Row],[Qty]]</f>
        <v>39.034183999999996</v>
      </c>
      <c r="J17" s="60">
        <f>I17-Table4[[#This Row],[Column1]]</f>
        <v>-18.785816000000004</v>
      </c>
      <c r="K17" s="61">
        <f t="shared" si="0"/>
        <v>-0.32490169491525428</v>
      </c>
    </row>
    <row r="18" spans="1:11" ht="15.75" thickBot="1">
      <c r="A18" s="73" t="s">
        <v>5145</v>
      </c>
      <c r="B18" s="54">
        <v>2100</v>
      </c>
      <c r="C18" s="55">
        <f>Table4[[#This Row],[Column1]]/Table4[[#Totals],[Column1]]</f>
        <v>1.7349238178950753E-2</v>
      </c>
      <c r="D18" s="67">
        <v>2.3660401599999999E-2</v>
      </c>
      <c r="E18" s="83">
        <f>Table4[[#This Row],[USD]]*Table4[[#This Row],[Qty]]</f>
        <v>49.686843359999997</v>
      </c>
      <c r="F18" s="64">
        <v>8.0000000000000007E-5</v>
      </c>
      <c r="G18" s="58">
        <f>Table4[[#This Row],[Qty]]*Table4[[#This Row],[Book Value ETH]]</f>
        <v>0.16800000000000001</v>
      </c>
      <c r="H18" s="59" t="str">
        <f>IFERROR(INDEX(Ticker!$1:$1048576,MATCH(Portfolio!$A18,Ticker!$C:$C,0),MATCH(Portfolio!$H$1,Ticker!$1:$1,0)),0)</f>
        <v>0.0574178</v>
      </c>
      <c r="I18" s="60">
        <f>H18*Table4[[#This Row],[Qty]]</f>
        <v>120.57737999999999</v>
      </c>
      <c r="J18" s="60">
        <f>I18-Table4[[#This Row],[Column1]]</f>
        <v>70.890536639999993</v>
      </c>
      <c r="K18" s="61">
        <f t="shared" si="0"/>
        <v>1.4267466364560777</v>
      </c>
    </row>
    <row r="19" spans="1:11" ht="15.75" thickBot="1">
      <c r="A19" s="53" t="s">
        <v>295</v>
      </c>
      <c r="B19" s="54">
        <v>5</v>
      </c>
      <c r="C19" s="55">
        <f>Table4[[#This Row],[Column1]]/Table4[[#Totals],[Column1]]</f>
        <v>1.6760240262315512E-2</v>
      </c>
      <c r="D19" s="56">
        <v>9.6</v>
      </c>
      <c r="E19" s="80">
        <f>Table4[[#This Row],[USD]]*Table4[[#This Row],[Qty]]</f>
        <v>48</v>
      </c>
      <c r="F19" s="57">
        <v>3.7235586000000001E-2</v>
      </c>
      <c r="G19" s="58">
        <f>Table4[[#This Row],[Qty]]*Table4[[#This Row],[Book Value ETH]]</f>
        <v>0.18617792999999999</v>
      </c>
      <c r="H19" s="59" t="str">
        <f>IFERROR(INDEX(Ticker!$1:$1048576,MATCH(Portfolio!$A19,Ticker!$C:$C,0),MATCH(Portfolio!$H$1,Ticker!$1:$1,0)),0)</f>
        <v>7.59676</v>
      </c>
      <c r="I19" s="60">
        <f>H19*Table4[[#This Row],[Qty]]</f>
        <v>37.983800000000002</v>
      </c>
      <c r="J19" s="60">
        <f>I19-Table4[[#This Row],[Column1]]</f>
        <v>-10.016199999999998</v>
      </c>
      <c r="K19" s="61">
        <f t="shared" si="0"/>
        <v>-0.20867083333333328</v>
      </c>
    </row>
    <row r="20" spans="1:11" ht="15.75" thickBot="1">
      <c r="A20" s="53" t="s">
        <v>5182</v>
      </c>
      <c r="B20" s="27">
        <v>2387.73</v>
      </c>
      <c r="C20" s="55">
        <f>Table4[[#This Row],[Column1]]/Table4[[#Totals],[Column1]]</f>
        <v>3.3349107067948851E-2</v>
      </c>
      <c r="D20" s="67">
        <v>0.04</v>
      </c>
      <c r="E20" s="83">
        <f>Table4[[#This Row],[USD]]*Table4[[#This Row],[Qty]]</f>
        <v>95.509200000000007</v>
      </c>
      <c r="F20" s="64">
        <f>0.3/2387</f>
        <v>1.2568077084206116E-4</v>
      </c>
      <c r="G20" s="58">
        <v>0.3</v>
      </c>
      <c r="H20" s="59" t="str">
        <f>IFERROR(INDEX(Ticker!$1:$1048576,MATCH(Portfolio!$A20,Ticker!$C:$C,0),MATCH(Portfolio!$H$1,Ticker!$1:$1,0)),0)</f>
        <v>0.0971219</v>
      </c>
      <c r="I20" s="60">
        <f>H20*Table4[[#This Row],[Qty]]</f>
        <v>231.90087428699999</v>
      </c>
      <c r="J20" s="60">
        <f>I20-Table4[[#This Row],[Column1]]</f>
        <v>136.391674287</v>
      </c>
      <c r="K20" s="61">
        <f t="shared" si="0"/>
        <v>1.4280474999999999</v>
      </c>
    </row>
    <row r="21" spans="1:11" ht="15.75" thickBot="1">
      <c r="A21" s="53" t="s">
        <v>3671</v>
      </c>
      <c r="B21" s="54">
        <v>24</v>
      </c>
      <c r="C21" s="55">
        <f>Table4[[#This Row],[Column1]]/Table4[[#Totals],[Column1]]</f>
        <v>1.608983065182289E-2</v>
      </c>
      <c r="D21" s="67">
        <v>1.92</v>
      </c>
      <c r="E21" s="83">
        <f>Table4[[#This Row],[USD]]*Table4[[#This Row],[Qty]]</f>
        <v>46.08</v>
      </c>
      <c r="F21" s="57">
        <v>6.5870019999999998E-3</v>
      </c>
      <c r="G21" s="58">
        <f>Table4[[#This Row],[Qty]]*Table4[[#This Row],[Book Value ETH]]</f>
        <v>0.15808804799999998</v>
      </c>
      <c r="H21" s="59" t="str">
        <f>IFERROR(INDEX(Ticker!$1:$1048576,MATCH(Portfolio!$A21,Ticker!$C:$C,0),MATCH(Portfolio!$H$1,Ticker!$1:$1,0)),0)</f>
        <v>1.80809</v>
      </c>
      <c r="I21" s="60">
        <f>H21*Table4[[#This Row],[Qty]]</f>
        <v>43.394159999999999</v>
      </c>
      <c r="J21" s="60">
        <f>I21-Table4[[#This Row],[Column1]]</f>
        <v>-2.6858399999999989</v>
      </c>
      <c r="K21" s="61">
        <f t="shared" si="0"/>
        <v>-5.8286458333333312E-2</v>
      </c>
    </row>
    <row r="22" spans="1:11" ht="15.75" thickBot="1">
      <c r="A22" s="53" t="s">
        <v>329</v>
      </c>
      <c r="B22" s="54">
        <v>26</v>
      </c>
      <c r="C22" s="55">
        <f>Table4[[#This Row],[Column1]]/Table4[[#Totals],[Column1]]</f>
        <v>6.9904168760740945E-3</v>
      </c>
      <c r="D22" s="67">
        <v>0.77</v>
      </c>
      <c r="E22" s="83">
        <f>Table4[[#This Row],[USD]]*Table4[[#This Row],[Qty]]</f>
        <v>20.02</v>
      </c>
      <c r="F22" s="64">
        <v>0</v>
      </c>
      <c r="G22" s="58">
        <f>Table4[[#This Row],[Qty]]*Table4[[#This Row],[Book Value ETH]]</f>
        <v>0</v>
      </c>
      <c r="H22" s="59" t="str">
        <f>IFERROR(INDEX(Ticker!$1:$1048576,MATCH(Portfolio!$A22,Ticker!$C:$C,0),MATCH(Portfolio!$H$1,Ticker!$1:$1,0)),0)</f>
        <v>0.745087</v>
      </c>
      <c r="I22" s="60">
        <f>H22*Table4[[#This Row],[Qty]]</f>
        <v>19.372262000000003</v>
      </c>
      <c r="J22" s="60">
        <f>I22-Table4[[#This Row],[Column1]]</f>
        <v>-0.64773799999999682</v>
      </c>
      <c r="K22" s="61">
        <f t="shared" si="0"/>
        <v>-3.2354545454545296E-2</v>
      </c>
    </row>
    <row r="23" spans="1:11" ht="15.75" thickBot="1">
      <c r="A23" s="53" t="s">
        <v>4895</v>
      </c>
      <c r="B23" s="54">
        <v>338.34153130999999</v>
      </c>
      <c r="C23" s="55">
        <f>Table4[[#This Row],[Column1]]/Table4[[#Totals],[Column1]]</f>
        <v>1.5613909662707556E-2</v>
      </c>
      <c r="D23" s="67">
        <v>0.13216527047939841</v>
      </c>
      <c r="E23" s="83">
        <f>Table4[[#This Row],[USD]]*Table4[[#This Row],[Qty]]</f>
        <v>44.716999999999999</v>
      </c>
      <c r="F23" s="100">
        <v>0</v>
      </c>
      <c r="G23" s="58">
        <v>0</v>
      </c>
      <c r="H23" s="59" t="str">
        <f>IFERROR(INDEX(Ticker!$1:$1048576,MATCH(Portfolio!$A23,Ticker!$C:$C,0),MATCH(Portfolio!$H$1,Ticker!$1:$1,0)),0)</f>
        <v>0.170632</v>
      </c>
      <c r="I23" s="60">
        <f>H23*Table4[[#This Row],[Qty]]</f>
        <v>57.731892170487924</v>
      </c>
      <c r="J23" s="60">
        <f>I23-Table4[[#This Row],[Column1]]</f>
        <v>13.014892170487926</v>
      </c>
      <c r="K23" s="61">
        <f t="shared" ref="K23" si="1">(I23-E23)/E23</f>
        <v>0.29105020843276441</v>
      </c>
    </row>
    <row r="24" spans="1:11" ht="15.75" thickBot="1">
      <c r="A24" s="53" t="s">
        <v>4893</v>
      </c>
      <c r="B24" s="54"/>
      <c r="C24" s="55">
        <f>Table4[[#This Row],[Column1]]/Table4[[#Totals],[Column1]]</f>
        <v>0</v>
      </c>
      <c r="D24" s="67"/>
      <c r="E24" s="83">
        <f>Table4[[#This Row],[USD]]*Table4[[#This Row],[Qty]]</f>
        <v>0</v>
      </c>
      <c r="F24" s="100"/>
      <c r="G24" s="58">
        <f>Table4[[#This Row],[Qty]]*Table4[[#This Row],[Book Value ETH]]</f>
        <v>0</v>
      </c>
      <c r="H24" s="59">
        <f>IFERROR(INDEX(Ticker!$1:$1048576,MATCH(Portfolio!$A24,Ticker!$C:$C,0),MATCH(Portfolio!$H$1,Ticker!$1:$1,0)),0)</f>
        <v>0</v>
      </c>
      <c r="I24" s="60">
        <f>H24*Table4[[#This Row],[Qty]]</f>
        <v>0</v>
      </c>
      <c r="J24" s="60">
        <f>I24-Table4[[#This Row],[Column1]]</f>
        <v>0</v>
      </c>
      <c r="K24" s="61" t="e">
        <f t="shared" ref="K24:K28" si="2">(I24-E24)/E24</f>
        <v>#DIV/0!</v>
      </c>
    </row>
    <row r="25" spans="1:11" ht="15.75" thickBot="1">
      <c r="A25" s="53" t="s">
        <v>4894</v>
      </c>
      <c r="B25" s="54"/>
      <c r="C25" s="55">
        <f>Table4[[#This Row],[Column1]]/Table4[[#Totals],[Column1]]</f>
        <v>0</v>
      </c>
      <c r="D25" s="67"/>
      <c r="E25" s="83">
        <f>Table4[[#This Row],[USD]]*Table4[[#This Row],[Qty]]</f>
        <v>0</v>
      </c>
      <c r="F25" s="100"/>
      <c r="G25" s="58">
        <f>Table4[[#This Row],[Qty]]*Table4[[#This Row],[Book Value ETH]]</f>
        <v>0</v>
      </c>
      <c r="H25" s="59">
        <f>IFERROR(INDEX(Ticker!$1:$1048576,MATCH(Portfolio!$A25,Ticker!$C:$C,0),MATCH(Portfolio!$H$1,Ticker!$1:$1,0)),0)</f>
        <v>0</v>
      </c>
      <c r="I25" s="60">
        <f>H25*Table4[[#This Row],[Qty]]</f>
        <v>0</v>
      </c>
      <c r="J25" s="60">
        <f>I25-Table4[[#This Row],[Column1]]</f>
        <v>0</v>
      </c>
      <c r="K25" s="61" t="e">
        <f t="shared" si="2"/>
        <v>#DIV/0!</v>
      </c>
    </row>
    <row r="26" spans="1:11" ht="15.75" thickBot="1">
      <c r="A26" s="53" t="s">
        <v>4892</v>
      </c>
      <c r="B26" s="54"/>
      <c r="C26" s="55">
        <f>Table4[[#This Row],[Column1]]/Table4[[#Totals],[Column1]]</f>
        <v>0</v>
      </c>
      <c r="D26" s="67"/>
      <c r="E26" s="83">
        <f>Table4[[#This Row],[USD]]*Table4[[#This Row],[Qty]]</f>
        <v>0</v>
      </c>
      <c r="F26" s="100"/>
      <c r="G26" s="58">
        <f>Table4[[#This Row],[Qty]]*Table4[[#This Row],[Book Value ETH]]</f>
        <v>0</v>
      </c>
      <c r="H26" s="59">
        <f>IFERROR(INDEX(Ticker!$1:$1048576,MATCH(Portfolio!$A26,Ticker!$C:$C,0),MATCH(Portfolio!$H$1,Ticker!$1:$1,0)),0)</f>
        <v>0</v>
      </c>
      <c r="I26" s="60">
        <f>H26*Table4[[#This Row],[Qty]]</f>
        <v>0</v>
      </c>
      <c r="J26" s="60">
        <f>I26-Table4[[#This Row],[Column1]]</f>
        <v>0</v>
      </c>
      <c r="K26" s="61" t="e">
        <f t="shared" si="2"/>
        <v>#DIV/0!</v>
      </c>
    </row>
    <row r="27" spans="1:11" ht="15.75" thickBot="1">
      <c r="A27" s="53"/>
      <c r="B27" s="54"/>
      <c r="C27" s="55">
        <f>Table4[[#This Row],[Column1]]/Table4[[#Totals],[Column1]]</f>
        <v>0</v>
      </c>
      <c r="D27" s="67"/>
      <c r="E27" s="83">
        <f>Table4[[#This Row],[USD]]*Table4[[#This Row],[Qty]]</f>
        <v>0</v>
      </c>
      <c r="F27" s="100"/>
      <c r="G27" s="58">
        <f>Table4[[#This Row],[Qty]]*Table4[[#This Row],[Book Value ETH]]</f>
        <v>0</v>
      </c>
      <c r="H27" s="59">
        <f>IFERROR(INDEX(Ticker!$1:$1048576,MATCH(Portfolio!$A27,Ticker!$C:$C,0),MATCH(Portfolio!$H$1,Ticker!$1:$1,0)),0)</f>
        <v>0</v>
      </c>
      <c r="I27" s="60">
        <f>H27*Table4[[#This Row],[Qty]]</f>
        <v>0</v>
      </c>
      <c r="J27" s="60">
        <f>I27-Table4[[#This Row],[Column1]]</f>
        <v>0</v>
      </c>
      <c r="K27" s="61" t="e">
        <f t="shared" si="2"/>
        <v>#DIV/0!</v>
      </c>
    </row>
    <row r="28" spans="1:11" ht="15.75" thickBot="1">
      <c r="A28" s="53"/>
      <c r="B28" s="54"/>
      <c r="C28" s="55">
        <f>Table4[[#This Row],[Column1]]/Table4[[#Totals],[Column1]]</f>
        <v>0</v>
      </c>
      <c r="D28" s="67"/>
      <c r="E28" s="83">
        <f>Table4[[#This Row],[USD]]*Table4[[#This Row],[Qty]]</f>
        <v>0</v>
      </c>
      <c r="F28" s="100"/>
      <c r="G28" s="58">
        <f>Table4[[#This Row],[Qty]]*Table4[[#This Row],[Book Value ETH]]</f>
        <v>0</v>
      </c>
      <c r="H28" s="59">
        <f>IFERROR(INDEX(Ticker!$1:$1048576,MATCH(Portfolio!$A28,Ticker!$C:$C,0),MATCH(Portfolio!$H$1,Ticker!$1:$1,0)),0)</f>
        <v>0</v>
      </c>
      <c r="I28" s="60">
        <f>H28*Table4[[#This Row],[Qty]]</f>
        <v>0</v>
      </c>
      <c r="J28" s="60">
        <f>I28-Table4[[#This Row],[Column1]]</f>
        <v>0</v>
      </c>
      <c r="K28" s="61" t="e">
        <f t="shared" si="2"/>
        <v>#DIV/0!</v>
      </c>
    </row>
    <row r="29" spans="1:11">
      <c r="A29" s="75" t="s">
        <v>8</v>
      </c>
      <c r="B29" s="76"/>
      <c r="C29" s="87">
        <f>Table4[[#This Row],[Column1]]/Table4[[#Totals],[Column1]]</f>
        <v>1.0475150163947195E-2</v>
      </c>
      <c r="D29" s="79"/>
      <c r="E29" s="88">
        <v>30</v>
      </c>
      <c r="F29" s="74"/>
      <c r="G29" s="77">
        <f>Table4[[#This Row],[Qty]]*Table4[[#This Row],[Book Value ETH]]</f>
        <v>0</v>
      </c>
      <c r="H29" s="89" t="str">
        <f>IFERROR(INDEX(Ticker!$1:$1048576,MATCH(Portfolio!$A29,Ticker!$C:$C,0),MATCH(Portfolio!$H$1,Ticker!$1:$1,0)),0)</f>
        <v>309.616</v>
      </c>
      <c r="I29" s="60">
        <v>38</v>
      </c>
      <c r="J29" s="60">
        <f>I29-Table4[[#This Row],[Column1]]</f>
        <v>8</v>
      </c>
      <c r="K29" s="61">
        <f t="shared" si="0"/>
        <v>0.26666666666666666</v>
      </c>
    </row>
    <row r="30" spans="1:11">
      <c r="A30" s="90" t="s">
        <v>4889</v>
      </c>
      <c r="B30" s="91"/>
      <c r="C30" s="92">
        <f>SUBTOTAL(109,Table4[Value %])</f>
        <v>1.0000000000000002</v>
      </c>
      <c r="D30" s="93"/>
      <c r="E30" s="93">
        <f>SUBTOTAL(109,Table4[Column1])</f>
        <v>2863.9207582199992</v>
      </c>
      <c r="F30" s="91"/>
      <c r="G30" s="94">
        <f>SUBTOTAL(109,Table4[Total BV ETH])</f>
        <v>6.9826980960999991</v>
      </c>
      <c r="H30" s="95"/>
      <c r="I30" s="96">
        <f>SUM(I3:I29)</f>
        <v>2326.0544093974872</v>
      </c>
      <c r="J30" s="96">
        <f>SUM(J3:J29)</f>
        <v>-537.86634882251212</v>
      </c>
      <c r="K30" s="97">
        <f t="shared" si="0"/>
        <v>-0.18780769240166054</v>
      </c>
    </row>
    <row r="31" spans="1:11">
      <c r="D31" s="78"/>
      <c r="E31" s="78"/>
      <c r="G31" s="47">
        <f>Table4[[#Totals],[Total BV ETH]]*H16</f>
        <v>3.6161368457254026</v>
      </c>
    </row>
    <row r="33" spans="6:8">
      <c r="F33" s="99">
        <f>0.00045*2387</f>
        <v>1.0741499999999999</v>
      </c>
      <c r="H33" s="47" t="e">
        <f>#REF!-Table4[[#Totals],[Column1]]</f>
        <v>#REF!</v>
      </c>
    </row>
    <row r="36" spans="6:8">
      <c r="F36" s="28"/>
    </row>
    <row r="37" spans="6:8">
      <c r="F37" s="62"/>
    </row>
  </sheetData>
  <conditionalFormatting sqref="J1:K1048576">
    <cfRule type="cellIs" dxfId="81" priority="1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29</xdr:row>
                    <xdr:rowOff>95250</xdr:rowOff>
                  </from>
                  <to>
                    <xdr:col>12</xdr:col>
                    <xdr:colOff>438150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32</xdr:row>
                    <xdr:rowOff>161925</xdr:rowOff>
                  </from>
                  <to>
                    <xdr:col>12</xdr:col>
                    <xdr:colOff>438150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>
      <c r="E1" s="101" t="s">
        <v>5426</v>
      </c>
      <c r="F1" s="101"/>
      <c r="G1" s="101"/>
      <c r="I1" s="101" t="s">
        <v>5427</v>
      </c>
      <c r="J1" s="101"/>
      <c r="K1" s="101"/>
      <c r="N1" s="101" t="s">
        <v>5428</v>
      </c>
      <c r="O1" s="101"/>
      <c r="P1" s="101"/>
    </row>
    <row r="2" spans="5:16">
      <c r="E2" s="32" t="s">
        <v>5424</v>
      </c>
      <c r="F2" s="16" t="s">
        <v>5238</v>
      </c>
      <c r="G2" s="16" t="s">
        <v>5239</v>
      </c>
      <c r="I2" s="32" t="s">
        <v>5424</v>
      </c>
      <c r="J2" s="16" t="s">
        <v>5238</v>
      </c>
      <c r="K2" s="16" t="s">
        <v>5239</v>
      </c>
      <c r="N2" s="32" t="s">
        <v>5424</v>
      </c>
      <c r="O2" s="16" t="s">
        <v>5238</v>
      </c>
      <c r="P2" s="16" t="s">
        <v>5239</v>
      </c>
    </row>
    <row r="3" spans="5:16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H29" sqref="H29"/>
    </sheetView>
  </sheetViews>
  <sheetFormatPr defaultRowHeight="15"/>
  <cols>
    <col min="1" max="1" width="10.140625" style="33" customWidth="1"/>
    <col min="2" max="2" width="13.42578125" style="33" customWidth="1"/>
    <col min="3" max="3" width="13.28515625" style="33" customWidth="1"/>
    <col min="4" max="4" width="13" style="33" customWidth="1"/>
    <col min="5" max="5" width="20.42578125" style="42" hidden="1" customWidth="1"/>
    <col min="6" max="6" width="11.7109375" style="33" customWidth="1"/>
    <col min="7" max="9" width="9.140625" style="33"/>
    <col min="10" max="10" width="8.42578125" style="38" customWidth="1"/>
    <col min="11" max="12" width="15.28515625" style="39" bestFit="1" customWidth="1"/>
    <col min="13" max="13" width="9.140625" style="33"/>
    <col min="14" max="14" width="14.140625" style="33" customWidth="1"/>
    <col min="15" max="16" width="12.28515625" style="33" customWidth="1"/>
    <col min="17" max="17" width="21.42578125" style="33" customWidth="1"/>
    <col min="18" max="18" width="12.7109375" style="33" customWidth="1"/>
    <col min="19" max="19" width="11.7109375" style="33" customWidth="1"/>
    <col min="20" max="16384" width="9.140625" style="33"/>
  </cols>
  <sheetData>
    <row r="1" spans="1:19">
      <c r="A1" s="33" t="s">
        <v>0</v>
      </c>
      <c r="B1" s="33" t="s">
        <v>5051</v>
      </c>
      <c r="C1" s="33" t="s">
        <v>5052</v>
      </c>
      <c r="D1" s="33" t="s">
        <v>5054</v>
      </c>
      <c r="E1" s="34" t="s">
        <v>59</v>
      </c>
      <c r="F1" s="33" t="s">
        <v>5053</v>
      </c>
      <c r="G1" s="33" t="s">
        <v>5106</v>
      </c>
      <c r="J1" s="102" t="s">
        <v>5425</v>
      </c>
      <c r="K1" s="102"/>
      <c r="L1" s="102"/>
      <c r="R1" s="102" t="s">
        <v>5486</v>
      </c>
      <c r="S1" s="102"/>
    </row>
    <row r="2" spans="1:19">
      <c r="A2" s="33" t="s">
        <v>223</v>
      </c>
      <c r="B2" s="35">
        <v>0.28999999999999998</v>
      </c>
      <c r="C2" s="35">
        <v>0.4</v>
      </c>
      <c r="D2" s="36">
        <f t="shared" ref="D2:D23" si="0">(C2-B2)/B2</f>
        <v>0.37931034482758635</v>
      </c>
      <c r="E2" s="37" t="str">
        <f>INDEX(Ticker!$1:$1048576,MATCH(Flippers!$A2,Ticker!$C:$C,0),MATCH(Flippers!E$1,Ticker!$1:$1,0))</f>
        <v>0.344555</v>
      </c>
      <c r="F2" s="35" t="s">
        <v>4991</v>
      </c>
      <c r="G2" s="33">
        <f>VALUE(Table5[[#This Row],[Coin.price_usd]])</f>
        <v>0.344555</v>
      </c>
      <c r="J2" s="38" t="s">
        <v>5424</v>
      </c>
      <c r="K2" s="39" t="s">
        <v>5238</v>
      </c>
      <c r="L2" s="39" t="s">
        <v>5239</v>
      </c>
      <c r="Q2" s="33" t="s">
        <v>4882</v>
      </c>
      <c r="R2" s="102" t="s">
        <v>5485</v>
      </c>
      <c r="S2" s="102"/>
    </row>
    <row r="3" spans="1:19">
      <c r="A3" s="33" t="s">
        <v>157</v>
      </c>
      <c r="B3" s="35">
        <v>0.16</v>
      </c>
      <c r="C3" s="35">
        <v>0.22</v>
      </c>
      <c r="D3" s="36">
        <f t="shared" si="0"/>
        <v>0.375</v>
      </c>
      <c r="E3" s="37" t="str">
        <f>INDEX(Ticker!$1:$1048576,MATCH(Flippers!$A3,Ticker!$C:$C,0),MATCH(Flippers!E$1,Ticker!$1:$1,0))</f>
        <v>0.225791</v>
      </c>
      <c r="F3" s="35" t="s">
        <v>4991</v>
      </c>
      <c r="G3" s="33">
        <f>VALUE(Table5[[#This Row],[Coin.price_usd]])</f>
        <v>0.22579099999999999</v>
      </c>
      <c r="J3" s="38">
        <v>1</v>
      </c>
      <c r="K3" s="39">
        <v>500</v>
      </c>
      <c r="L3" s="39">
        <f>Table6[[#This Row],[Column1]]*1.2</f>
        <v>600</v>
      </c>
      <c r="R3" s="33" t="s">
        <v>5433</v>
      </c>
    </row>
    <row r="4" spans="1:19">
      <c r="A4" s="33" t="s">
        <v>232</v>
      </c>
      <c r="B4" s="35">
        <v>0.18</v>
      </c>
      <c r="C4" s="35">
        <v>0.21</v>
      </c>
      <c r="D4" s="36">
        <f t="shared" si="0"/>
        <v>0.16666666666666666</v>
      </c>
      <c r="E4" s="37" t="str">
        <f>INDEX(Ticker!$1:$1048576,MATCH(Flippers!$A4,Ticker!$C:$C,0),MATCH(Flippers!E$1,Ticker!$1:$1,0))</f>
        <v>0.198917</v>
      </c>
      <c r="F4" s="35" t="s">
        <v>4991</v>
      </c>
      <c r="G4" s="33">
        <f>VALUE(Table5[[#This Row],[Coin.price_usd]])</f>
        <v>0.19891700000000001</v>
      </c>
      <c r="J4" s="38">
        <v>2</v>
      </c>
      <c r="K4" s="39">
        <f t="shared" ref="K4:K35" si="1">L3</f>
        <v>600</v>
      </c>
      <c r="L4" s="39">
        <f>Table6[[#This Row],[Column1]]*1.2</f>
        <v>720</v>
      </c>
      <c r="N4" s="102" t="s">
        <v>5431</v>
      </c>
      <c r="O4" s="102"/>
      <c r="P4" s="40"/>
      <c r="Q4" s="41"/>
      <c r="R4" s="33" t="s">
        <v>5434</v>
      </c>
    </row>
    <row r="5" spans="1:19">
      <c r="A5" s="33" t="s">
        <v>131</v>
      </c>
      <c r="B5" s="35">
        <v>1.6</v>
      </c>
      <c r="C5" s="35">
        <v>2.8</v>
      </c>
      <c r="D5" s="36">
        <f t="shared" si="0"/>
        <v>0.74999999999999978</v>
      </c>
      <c r="E5" s="37" t="str">
        <f>INDEX(Ticker!$1:$1048576,MATCH(Flippers!$A5,Ticker!$C:$C,0),MATCH(Flippers!E$1,Ticker!$1:$1,0))</f>
        <v>2.1094</v>
      </c>
      <c r="F5" s="35" t="s">
        <v>4991</v>
      </c>
      <c r="G5" s="33">
        <f>VALUE(Table5[[#This Row],[Coin.price_usd]])</f>
        <v>2.1093999999999999</v>
      </c>
      <c r="J5" s="38">
        <v>3</v>
      </c>
      <c r="K5" s="39">
        <f t="shared" si="1"/>
        <v>720</v>
      </c>
      <c r="L5" s="39">
        <f>Table6[[#This Row],[Column1]]*1.2</f>
        <v>864</v>
      </c>
      <c r="N5" s="33" t="s">
        <v>5429</v>
      </c>
      <c r="O5" s="33">
        <v>192.5</v>
      </c>
      <c r="P5" s="33">
        <v>1000</v>
      </c>
      <c r="R5" s="33" t="s">
        <v>5435</v>
      </c>
    </row>
    <row r="6" spans="1:19">
      <c r="A6" s="33" t="s">
        <v>46</v>
      </c>
      <c r="B6" s="35">
        <v>8</v>
      </c>
      <c r="C6" s="35">
        <v>12</v>
      </c>
      <c r="D6" s="36">
        <f t="shared" si="0"/>
        <v>0.5</v>
      </c>
      <c r="E6" s="37" t="str">
        <f>INDEX(Ticker!$1:$1048576,MATCH(Flippers!$A6,Ticker!$C:$C,0),MATCH(Flippers!E$1,Ticker!$1:$1,0))</f>
        <v>8.57654</v>
      </c>
      <c r="F6" s="35" t="s">
        <v>4991</v>
      </c>
      <c r="G6" s="33">
        <f>VALUE(Table5[[#This Row],[Coin.price_usd]])</f>
        <v>8.5765399999999996</v>
      </c>
      <c r="J6" s="38">
        <v>4</v>
      </c>
      <c r="K6" s="39">
        <f t="shared" si="1"/>
        <v>864</v>
      </c>
      <c r="L6" s="39">
        <f>Table6[[#This Row],[Column1]]*1.2</f>
        <v>1036.8</v>
      </c>
      <c r="N6" s="33" t="s">
        <v>5430</v>
      </c>
      <c r="O6" s="33">
        <v>0</v>
      </c>
      <c r="P6" s="33">
        <v>500</v>
      </c>
      <c r="R6" s="33" t="s">
        <v>5436</v>
      </c>
    </row>
    <row r="7" spans="1:19">
      <c r="A7" s="33" t="s">
        <v>146</v>
      </c>
      <c r="B7" s="35">
        <v>16</v>
      </c>
      <c r="C7" s="35">
        <v>20</v>
      </c>
      <c r="D7" s="36">
        <f t="shared" si="0"/>
        <v>0.25</v>
      </c>
      <c r="E7" s="37" t="str">
        <f>INDEX(Ticker!$1:$1048576,MATCH(Flippers!$A7,Ticker!$C:$C,0),MATCH(Flippers!E$1,Ticker!$1:$1,0))</f>
        <v>20.2205</v>
      </c>
      <c r="F7" s="35"/>
      <c r="G7" s="33">
        <f>VALUE(Table5[[#This Row],[Coin.price_usd]])</f>
        <v>20.220500000000001</v>
      </c>
      <c r="J7" s="38">
        <v>5</v>
      </c>
      <c r="K7" s="39">
        <f t="shared" si="1"/>
        <v>1036.8</v>
      </c>
      <c r="L7" s="39">
        <f>Table6[[#This Row],[Column1]]*1.2</f>
        <v>1244.1599999999999</v>
      </c>
      <c r="N7" s="33" t="s">
        <v>5432</v>
      </c>
      <c r="O7" s="33">
        <v>0</v>
      </c>
      <c r="P7" s="33">
        <v>500</v>
      </c>
      <c r="R7" s="33" t="s">
        <v>5437</v>
      </c>
    </row>
    <row r="8" spans="1:19">
      <c r="A8" s="33" t="s">
        <v>105</v>
      </c>
      <c r="B8" s="35">
        <v>2.8</v>
      </c>
      <c r="C8" s="35">
        <v>4</v>
      </c>
      <c r="D8" s="36">
        <f t="shared" si="0"/>
        <v>0.42857142857142866</v>
      </c>
      <c r="E8" s="37" t="str">
        <f>INDEX(Ticker!$1:$1048576,MATCH(Flippers!$A8,Ticker!$C:$C,0),MATCH(Flippers!E$1,Ticker!$1:$1,0))</f>
        <v>2.58663</v>
      </c>
      <c r="F8" s="35" t="s">
        <v>4992</v>
      </c>
      <c r="G8" s="33">
        <f>VALUE(Table5[[#This Row],[Coin.price_usd]])</f>
        <v>2.58663</v>
      </c>
      <c r="J8" s="38">
        <v>6</v>
      </c>
      <c r="K8" s="39">
        <f t="shared" si="1"/>
        <v>1244.1599999999999</v>
      </c>
      <c r="L8" s="39">
        <f>Table6[[#This Row],[Column1]]*1.2</f>
        <v>1492.9919999999997</v>
      </c>
      <c r="R8" s="33" t="s">
        <v>5438</v>
      </c>
    </row>
    <row r="9" spans="1:19">
      <c r="A9" s="33" t="s">
        <v>329</v>
      </c>
      <c r="B9" s="35">
        <v>0.8</v>
      </c>
      <c r="C9" s="35">
        <v>1.2</v>
      </c>
      <c r="D9" s="36">
        <f t="shared" si="0"/>
        <v>0.49999999999999989</v>
      </c>
      <c r="E9" s="37" t="str">
        <f>INDEX(Ticker!$1:$1048576,MATCH(Flippers!$A9,Ticker!$C:$C,0),MATCH(Flippers!E$1,Ticker!$1:$1,0))</f>
        <v>0.745087</v>
      </c>
      <c r="F9" s="35" t="s">
        <v>4991</v>
      </c>
      <c r="G9" s="33">
        <f>VALUE(Table5[[#This Row],[Coin.price_usd]])</f>
        <v>0.74508700000000005</v>
      </c>
      <c r="J9" s="38">
        <v>7</v>
      </c>
      <c r="K9" s="39">
        <f t="shared" si="1"/>
        <v>1492.9919999999997</v>
      </c>
      <c r="L9" s="39">
        <f>Table6[[#This Row],[Column1]]*1.2</f>
        <v>1791.5903999999996</v>
      </c>
      <c r="R9" s="33" t="s">
        <v>5439</v>
      </c>
    </row>
    <row r="10" spans="1:19">
      <c r="A10" s="33" t="s">
        <v>353</v>
      </c>
      <c r="B10" s="35">
        <v>0.6</v>
      </c>
      <c r="C10" s="35">
        <v>1.05</v>
      </c>
      <c r="D10" s="36">
        <f t="shared" si="0"/>
        <v>0.75000000000000011</v>
      </c>
      <c r="E10" s="37" t="str">
        <f>INDEX(Ticker!$1:$1048576,MATCH(Flippers!$A10,Ticker!$C:$C,0),MATCH(Flippers!E$1,Ticker!$1:$1,0))</f>
        <v>0.640893</v>
      </c>
      <c r="F10" s="35" t="s">
        <v>4992</v>
      </c>
      <c r="G10" s="33">
        <f>VALUE(Table5[[#This Row],[Coin.price_usd]])</f>
        <v>0.64089300000000005</v>
      </c>
      <c r="J10" s="38">
        <v>8</v>
      </c>
      <c r="K10" s="39">
        <f t="shared" si="1"/>
        <v>1791.5903999999996</v>
      </c>
      <c r="L10" s="39">
        <f>Table6[[#This Row],[Column1]]*1.2</f>
        <v>2149.9084799999996</v>
      </c>
      <c r="R10" s="33" t="s">
        <v>5440</v>
      </c>
    </row>
    <row r="11" spans="1:19">
      <c r="A11" s="33" t="s">
        <v>348</v>
      </c>
      <c r="B11" s="35">
        <v>1.7</v>
      </c>
      <c r="C11" s="35">
        <v>2.8</v>
      </c>
      <c r="D11" s="36">
        <f t="shared" si="0"/>
        <v>0.64705882352941169</v>
      </c>
      <c r="E11" s="37" t="str">
        <f>INDEX(Ticker!$1:$1048576,MATCH(Flippers!$A11,Ticker!$C:$C,0),MATCH(Flippers!E$1,Ticker!$1:$1,0))</f>
        <v>1.74395</v>
      </c>
      <c r="F11" s="35" t="s">
        <v>4991</v>
      </c>
      <c r="G11" s="33">
        <f>VALUE(Table5[[#This Row],[Coin.price_usd]])</f>
        <v>1.7439499999999999</v>
      </c>
      <c r="J11" s="38">
        <v>9</v>
      </c>
      <c r="K11" s="39">
        <f t="shared" si="1"/>
        <v>2149.9084799999996</v>
      </c>
      <c r="L11" s="39">
        <f>Table6[[#This Row],[Column1]]*1.2</f>
        <v>2579.8901759999994</v>
      </c>
      <c r="R11" s="33" t="s">
        <v>5441</v>
      </c>
    </row>
    <row r="12" spans="1:19">
      <c r="A12" s="33" t="s">
        <v>579</v>
      </c>
      <c r="B12" s="35">
        <v>0.55000000000000004</v>
      </c>
      <c r="C12" s="35">
        <v>1</v>
      </c>
      <c r="D12" s="36">
        <f t="shared" si="0"/>
        <v>0.81818181818181801</v>
      </c>
      <c r="E12" s="37" t="str">
        <f>INDEX(Ticker!$1:$1048576,MATCH(Flippers!$A12,Ticker!$C:$C,0),MATCH(Flippers!E$1,Ticker!$1:$1,0))</f>
        <v>0.96647</v>
      </c>
      <c r="F12" s="35" t="s">
        <v>4992</v>
      </c>
      <c r="G12" s="33">
        <f>VALUE(Table5[[#This Row],[Coin.price_usd]])</f>
        <v>0.96647000000000005</v>
      </c>
      <c r="J12" s="38">
        <v>10</v>
      </c>
      <c r="K12" s="39">
        <f t="shared" si="1"/>
        <v>2579.8901759999994</v>
      </c>
      <c r="L12" s="39">
        <f>Table6[[#This Row],[Column1]]*1.2</f>
        <v>3095.8682111999992</v>
      </c>
      <c r="R12" s="33" t="s">
        <v>5442</v>
      </c>
    </row>
    <row r="13" spans="1:19">
      <c r="A13" s="33" t="s">
        <v>500</v>
      </c>
      <c r="B13" s="35">
        <v>0.02</v>
      </c>
      <c r="C13" s="35">
        <v>0.08</v>
      </c>
      <c r="D13" s="36">
        <f t="shared" si="0"/>
        <v>3</v>
      </c>
      <c r="E13" s="37" t="str">
        <f>INDEX(Ticker!$1:$1048576,MATCH(Flippers!$A13,Ticker!$C:$C,0),MATCH(Flippers!E$1,Ticker!$1:$1,0))</f>
        <v>0.0476608</v>
      </c>
      <c r="F13" s="35" t="s">
        <v>4992</v>
      </c>
      <c r="G13" s="42">
        <f>VALUE(Table5[[#This Row],[Coin.price_usd]])</f>
        <v>4.7660800000000003E-2</v>
      </c>
      <c r="J13" s="38">
        <v>11</v>
      </c>
      <c r="K13" s="39">
        <f t="shared" si="1"/>
        <v>3095.8682111999992</v>
      </c>
      <c r="L13" s="39">
        <f>Table6[[#This Row],[Column1]]*1.2</f>
        <v>3715.0418534399987</v>
      </c>
      <c r="R13" s="33" t="s">
        <v>5443</v>
      </c>
    </row>
    <row r="14" spans="1:19">
      <c r="A14" s="33" t="s">
        <v>434</v>
      </c>
      <c r="B14" s="35">
        <v>0.25</v>
      </c>
      <c r="C14" s="35">
        <v>0.5</v>
      </c>
      <c r="D14" s="36">
        <f t="shared" si="0"/>
        <v>1</v>
      </c>
      <c r="E14" s="37" t="str">
        <f>INDEX(Ticker!$1:$1048576,MATCH(Flippers!$A14,Ticker!$C:$C,0),MATCH(Flippers!E$1,Ticker!$1:$1,0))</f>
        <v>0.338443</v>
      </c>
      <c r="F14" s="35" t="s">
        <v>4992</v>
      </c>
      <c r="G14" s="42">
        <f>VALUE(Table5[[#This Row],[Coin.price_usd]])</f>
        <v>0.33844299999999999</v>
      </c>
      <c r="J14" s="38">
        <v>12</v>
      </c>
      <c r="K14" s="39">
        <f t="shared" si="1"/>
        <v>3715.0418534399987</v>
      </c>
      <c r="L14" s="39">
        <f>Table6[[#This Row],[Column1]]*1.2</f>
        <v>4458.0502241279983</v>
      </c>
      <c r="R14" s="33" t="s">
        <v>5444</v>
      </c>
    </row>
    <row r="15" spans="1:19">
      <c r="A15" s="33" t="s">
        <v>4922</v>
      </c>
      <c r="B15" s="35">
        <v>0.9</v>
      </c>
      <c r="C15" s="35">
        <v>1.5</v>
      </c>
      <c r="D15" s="36">
        <f t="shared" si="0"/>
        <v>0.66666666666666663</v>
      </c>
      <c r="E15" s="37" t="str">
        <f>INDEX(Ticker!$1:$1048576,MATCH(Flippers!$A15,Ticker!$C:$C,0),MATCH(Flippers!E$1,Ticker!$1:$1,0))</f>
        <v>2.32906</v>
      </c>
      <c r="F15" s="35"/>
      <c r="G15" s="42">
        <f>VALUE(Table5[[#This Row],[Coin.price_usd]])</f>
        <v>2.3290600000000001</v>
      </c>
      <c r="J15" s="38">
        <v>13</v>
      </c>
      <c r="K15" s="39">
        <f t="shared" si="1"/>
        <v>4458.0502241279983</v>
      </c>
      <c r="L15" s="39">
        <f>Table6[[#This Row],[Column1]]*1.2</f>
        <v>5349.6602689535976</v>
      </c>
      <c r="R15" s="33" t="s">
        <v>5445</v>
      </c>
    </row>
    <row r="16" spans="1:19">
      <c r="A16" s="33" t="s">
        <v>8</v>
      </c>
      <c r="B16" s="35">
        <v>200</v>
      </c>
      <c r="C16" s="35">
        <v>300</v>
      </c>
      <c r="D16" s="36">
        <f t="shared" si="0"/>
        <v>0.5</v>
      </c>
      <c r="E16" s="37" t="str">
        <f>INDEX(Ticker!$1:$1048576,MATCH(Flippers!$A16,Ticker!$C:$C,0),MATCH(Flippers!E$1,Ticker!$1:$1,0))</f>
        <v>309.616</v>
      </c>
      <c r="F16" s="35"/>
      <c r="G16" s="42">
        <f>VALUE(Table5[[#This Row],[Coin.price_usd]])</f>
        <v>309.61599999999999</v>
      </c>
      <c r="J16" s="38">
        <v>14</v>
      </c>
      <c r="K16" s="39">
        <f t="shared" si="1"/>
        <v>5349.6602689535976</v>
      </c>
      <c r="L16" s="39">
        <f>Table6[[#This Row],[Column1]]*1.2</f>
        <v>6419.5923227443172</v>
      </c>
      <c r="R16" s="33" t="s">
        <v>5446</v>
      </c>
    </row>
    <row r="17" spans="1:18">
      <c r="A17" s="33" t="s">
        <v>5240</v>
      </c>
      <c r="B17" s="35"/>
      <c r="C17" s="35"/>
      <c r="D17" s="36" t="e">
        <f t="shared" si="0"/>
        <v>#DIV/0!</v>
      </c>
      <c r="E17" s="37" t="e">
        <f>INDEX(Ticker!$1:$1048576,MATCH(Flippers!$A17,Ticker!$C:$C,0),MATCH(Flippers!E$1,Ticker!$1:$1,0))</f>
        <v>#N/A</v>
      </c>
      <c r="F17" s="35"/>
      <c r="G17" s="42" t="e">
        <f>VALUE(Table5[[#This Row],[Coin.price_usd]])</f>
        <v>#N/A</v>
      </c>
      <c r="J17" s="38">
        <v>15</v>
      </c>
      <c r="K17" s="39">
        <f t="shared" si="1"/>
        <v>6419.5923227443172</v>
      </c>
      <c r="L17" s="39">
        <f>Table6[[#This Row],[Column1]]*1.2</f>
        <v>7703.5107872931803</v>
      </c>
      <c r="N17" s="43" t="s">
        <v>5534</v>
      </c>
      <c r="O17" s="33">
        <f>P19*1.2</f>
        <v>0.59699999999999998</v>
      </c>
      <c r="P17" s="33" t="s">
        <v>8</v>
      </c>
      <c r="R17" s="33" t="s">
        <v>5447</v>
      </c>
    </row>
    <row r="18" spans="1:18">
      <c r="A18" s="33" t="s">
        <v>3671</v>
      </c>
      <c r="B18" s="35">
        <v>1.9</v>
      </c>
      <c r="C18" s="35"/>
      <c r="D18" s="36">
        <f t="shared" si="0"/>
        <v>-1</v>
      </c>
      <c r="E18" s="37" t="str">
        <f>INDEX(Ticker!$1:$1048576,MATCH(Flippers!$A18,Ticker!$C:$C,0),MATCH(Flippers!E$1,Ticker!$1:$1,0))</f>
        <v>1.80809</v>
      </c>
      <c r="F18" s="35"/>
      <c r="G18" s="42">
        <f>VALUE(Table5[[#This Row],[Coin.price_usd]])</f>
        <v>1.80809</v>
      </c>
      <c r="J18" s="38">
        <v>16</v>
      </c>
      <c r="K18" s="39">
        <f t="shared" si="1"/>
        <v>7703.5107872931803</v>
      </c>
      <c r="L18" s="39">
        <f>Table6[[#This Row],[Column1]]*1.2</f>
        <v>9244.2129447518164</v>
      </c>
      <c r="N18" s="33" t="s">
        <v>5429</v>
      </c>
      <c r="O18" s="33" t="s">
        <v>3</v>
      </c>
      <c r="P18" s="33" t="s">
        <v>4890</v>
      </c>
      <c r="R18" s="33" t="s">
        <v>5448</v>
      </c>
    </row>
    <row r="19" spans="1:18">
      <c r="A19" s="33" t="s">
        <v>5086</v>
      </c>
      <c r="B19" s="35">
        <v>0.3</v>
      </c>
      <c r="C19" s="35"/>
      <c r="D19" s="36">
        <f t="shared" si="0"/>
        <v>-1</v>
      </c>
      <c r="E19" s="37" t="str">
        <f>INDEX(Ticker!$1:$1048576,MATCH(Flippers!$A19,Ticker!$C:$C,0),MATCH(Flippers!E$1,Ticker!$1:$1,0))</f>
        <v>0.471408</v>
      </c>
      <c r="F19" s="35"/>
      <c r="G19" s="42">
        <f>VALUE(Table5[[#This Row],[Coin.price_usd]])</f>
        <v>0.47140799999999999</v>
      </c>
      <c r="J19" s="38">
        <v>17</v>
      </c>
      <c r="K19" s="39">
        <f t="shared" si="1"/>
        <v>9244.2129447518164</v>
      </c>
      <c r="L19" s="39">
        <f>Table6[[#This Row],[Column1]]*1.2</f>
        <v>11093.05553370218</v>
      </c>
      <c r="N19" s="33" t="s">
        <v>5532</v>
      </c>
      <c r="P19" s="33">
        <v>0.4975</v>
      </c>
      <c r="R19" s="33" t="s">
        <v>5449</v>
      </c>
    </row>
    <row r="20" spans="1:18">
      <c r="A20" s="33" t="s">
        <v>5365</v>
      </c>
      <c r="B20" s="35"/>
      <c r="C20" s="35"/>
      <c r="D20" s="36" t="e">
        <f t="shared" si="0"/>
        <v>#DIV/0!</v>
      </c>
      <c r="E20" s="37" t="e">
        <f>INDEX(Ticker!$1:$1048576,MATCH(Flippers!$A20,Ticker!$C:$C,0),MATCH(Flippers!E$1,Ticker!$1:$1,0))</f>
        <v>#N/A</v>
      </c>
      <c r="F20" s="35"/>
      <c r="G20" s="42" t="e">
        <f>VALUE(Table5[[#This Row],[Coin.price_usd]])</f>
        <v>#N/A</v>
      </c>
      <c r="J20" s="38">
        <v>18</v>
      </c>
      <c r="K20" s="39">
        <f t="shared" si="1"/>
        <v>11093.05553370218</v>
      </c>
      <c r="L20" s="39">
        <f>Table6[[#This Row],[Column1]]*1.2</f>
        <v>13311.666640442616</v>
      </c>
      <c r="N20" s="33" t="s">
        <v>5533</v>
      </c>
      <c r="O20" s="33">
        <v>6.7780220000000002E-2</v>
      </c>
      <c r="R20" s="33" t="s">
        <v>5450</v>
      </c>
    </row>
    <row r="21" spans="1:18">
      <c r="A21" s="33" t="s">
        <v>5366</v>
      </c>
      <c r="B21" s="35"/>
      <c r="C21" s="35"/>
      <c r="D21" s="36" t="e">
        <f t="shared" si="0"/>
        <v>#DIV/0!</v>
      </c>
      <c r="E21" s="37" t="e">
        <f>INDEX(Ticker!$1:$1048576,MATCH(Flippers!$A21,Ticker!$C:$C,0),MATCH(Flippers!E$1,Ticker!$1:$1,0))</f>
        <v>#N/A</v>
      </c>
      <c r="F21" s="35"/>
      <c r="G21" s="42" t="e">
        <f>VALUE(Table5[[#This Row],[Coin.price_usd]])</f>
        <v>#N/A</v>
      </c>
      <c r="J21" s="38">
        <v>19</v>
      </c>
      <c r="K21" s="39">
        <f t="shared" si="1"/>
        <v>13311.666640442616</v>
      </c>
      <c r="L21" s="39">
        <f>Table6[[#This Row],[Column1]]*1.2</f>
        <v>15973.999968531138</v>
      </c>
      <c r="R21" s="33" t="s">
        <v>5451</v>
      </c>
    </row>
    <row r="22" spans="1:18">
      <c r="A22" s="33" t="s">
        <v>3</v>
      </c>
      <c r="B22" s="35">
        <v>4000</v>
      </c>
      <c r="C22" s="35"/>
      <c r="D22" s="36">
        <f t="shared" si="0"/>
        <v>-1</v>
      </c>
      <c r="E22" s="37" t="str">
        <f>INDEX(Ticker!$1:$1048576,MATCH(Flippers!$A22,Ticker!$C:$C,0),MATCH(Flippers!E$1,Ticker!$1:$1,0))</f>
        <v>4371.17</v>
      </c>
      <c r="F22" s="35"/>
      <c r="G22" s="42">
        <f>VALUE(Table5[[#This Row],[Coin.price_usd]])</f>
        <v>4371.17</v>
      </c>
      <c r="J22" s="38">
        <v>20</v>
      </c>
      <c r="K22" s="39">
        <f t="shared" si="1"/>
        <v>15973.999968531138</v>
      </c>
      <c r="L22" s="39">
        <f>Table6[[#This Row],[Column1]]*1.2</f>
        <v>19168.799962237365</v>
      </c>
      <c r="R22" s="33" t="s">
        <v>5452</v>
      </c>
    </row>
    <row r="23" spans="1:18">
      <c r="A23" s="33" t="s">
        <v>5421</v>
      </c>
      <c r="B23" s="35">
        <v>0.25</v>
      </c>
      <c r="C23" s="35"/>
      <c r="D23" s="36">
        <f t="shared" si="0"/>
        <v>-1</v>
      </c>
      <c r="E23" s="37" t="str">
        <f>INDEX(Ticker!$1:$1048576,MATCH(Flippers!$A23,Ticker!$C:$C,0),MATCH(Flippers!E$1,Ticker!$1:$1,0))</f>
        <v>0.123986</v>
      </c>
      <c r="F23" s="35"/>
      <c r="G23" s="42">
        <f>VALUE(Table5[[#This Row],[Coin.price_usd]])</f>
        <v>0.123986</v>
      </c>
      <c r="J23" s="38">
        <v>21</v>
      </c>
      <c r="K23" s="39">
        <f t="shared" si="1"/>
        <v>19168.799962237365</v>
      </c>
      <c r="L23" s="39">
        <f>Table6[[#This Row],[Column1]]*1.2</f>
        <v>23002.559954684835</v>
      </c>
      <c r="N23" s="33" t="s">
        <v>5531</v>
      </c>
      <c r="O23" s="33">
        <v>6.1435999999999999E-4</v>
      </c>
      <c r="P23" s="33">
        <v>54.61</v>
      </c>
      <c r="R23" s="33" t="s">
        <v>5453</v>
      </c>
    </row>
    <row r="24" spans="1:18">
      <c r="A24" s="33" t="s">
        <v>5145</v>
      </c>
      <c r="B24" s="35">
        <v>2.1000000000000001E-2</v>
      </c>
      <c r="C24" s="35">
        <v>0.08</v>
      </c>
      <c r="D24" s="36">
        <f>(C24-B24)/B24</f>
        <v>2.8095238095238093</v>
      </c>
      <c r="E24" s="37" t="str">
        <f>INDEX(Ticker!$1:$1048576,MATCH(Flippers!$A24,Ticker!$C:$C,0),MATCH(Flippers!E$1,Ticker!$1:$1,0))</f>
        <v>0.0574178</v>
      </c>
      <c r="F24" s="35"/>
      <c r="G24" s="42">
        <f>VALUE(Table5[[#This Row],[Coin.price_usd]])</f>
        <v>5.7417799999999998E-2</v>
      </c>
      <c r="J24" s="38">
        <v>22</v>
      </c>
      <c r="K24" s="39">
        <f t="shared" si="1"/>
        <v>23002.559954684835</v>
      </c>
      <c r="L24" s="39">
        <f>Table6[[#This Row],[Column1]]*1.2</f>
        <v>27603.071945621803</v>
      </c>
      <c r="R24" s="33" t="s">
        <v>5454</v>
      </c>
    </row>
    <row r="25" spans="1:18">
      <c r="J25" s="38">
        <v>23</v>
      </c>
      <c r="K25" s="39">
        <f t="shared" si="1"/>
        <v>27603.071945621803</v>
      </c>
      <c r="L25" s="39">
        <f>Table6[[#This Row],[Column1]]*1.2</f>
        <v>33123.686334746162</v>
      </c>
      <c r="R25" s="33" t="s">
        <v>5455</v>
      </c>
    </row>
    <row r="26" spans="1:18">
      <c r="J26" s="38">
        <v>24</v>
      </c>
      <c r="K26" s="39">
        <f t="shared" si="1"/>
        <v>33123.686334746162</v>
      </c>
      <c r="L26" s="39">
        <f>Table6[[#This Row],[Column1]]*1.2</f>
        <v>39748.423601695395</v>
      </c>
      <c r="R26" s="33" t="s">
        <v>5456</v>
      </c>
    </row>
    <row r="27" spans="1:18">
      <c r="J27" s="38">
        <v>25</v>
      </c>
      <c r="K27" s="39">
        <f t="shared" si="1"/>
        <v>39748.423601695395</v>
      </c>
      <c r="L27" s="39">
        <f>Table6[[#This Row],[Column1]]*1.2</f>
        <v>47698.108322034474</v>
      </c>
      <c r="R27" s="33" t="s">
        <v>5457</v>
      </c>
    </row>
    <row r="28" spans="1:18">
      <c r="J28" s="38">
        <v>26</v>
      </c>
      <c r="K28" s="39">
        <f t="shared" si="1"/>
        <v>47698.108322034474</v>
      </c>
      <c r="L28" s="39">
        <f>Table6[[#This Row],[Column1]]*1.2</f>
        <v>57237.729986441365</v>
      </c>
      <c r="R28" s="33" t="s">
        <v>5458</v>
      </c>
    </row>
    <row r="29" spans="1:18">
      <c r="J29" s="38">
        <v>27</v>
      </c>
      <c r="K29" s="39">
        <f t="shared" si="1"/>
        <v>57237.729986441365</v>
      </c>
      <c r="L29" s="39">
        <f>Table6[[#This Row],[Column1]]*1.2</f>
        <v>68685.275983729633</v>
      </c>
      <c r="R29" s="33" t="s">
        <v>5459</v>
      </c>
    </row>
    <row r="30" spans="1:18">
      <c r="J30" s="38">
        <v>28</v>
      </c>
      <c r="K30" s="39">
        <f t="shared" si="1"/>
        <v>68685.275983729633</v>
      </c>
      <c r="L30" s="39">
        <f>Table6[[#This Row],[Column1]]*1.2</f>
        <v>82422.33118047555</v>
      </c>
      <c r="R30" s="33" t="s">
        <v>5460</v>
      </c>
    </row>
    <row r="31" spans="1:18">
      <c r="J31" s="38">
        <v>29</v>
      </c>
      <c r="K31" s="39">
        <f t="shared" si="1"/>
        <v>82422.33118047555</v>
      </c>
      <c r="L31" s="39">
        <f>Table6[[#This Row],[Column1]]*1.2</f>
        <v>98906.797416570655</v>
      </c>
      <c r="R31" s="33" t="s">
        <v>5461</v>
      </c>
    </row>
    <row r="32" spans="1:18">
      <c r="J32" s="38">
        <v>30</v>
      </c>
      <c r="K32" s="39">
        <f t="shared" si="1"/>
        <v>98906.797416570655</v>
      </c>
      <c r="L32" s="39">
        <f>Table6[[#This Row],[Column1]]*1.2</f>
        <v>118688.15689988478</v>
      </c>
      <c r="R32" s="33" t="s">
        <v>5462</v>
      </c>
    </row>
    <row r="33" spans="10:18">
      <c r="J33" s="38">
        <v>31</v>
      </c>
      <c r="K33" s="39">
        <f t="shared" si="1"/>
        <v>118688.15689988478</v>
      </c>
      <c r="L33" s="39">
        <f>Table6[[#This Row],[Column1]]*1.2</f>
        <v>142425.78827986174</v>
      </c>
      <c r="R33" s="33" t="s">
        <v>5463</v>
      </c>
    </row>
    <row r="34" spans="10:18">
      <c r="J34" s="38">
        <v>32</v>
      </c>
      <c r="K34" s="39">
        <f t="shared" si="1"/>
        <v>142425.78827986174</v>
      </c>
      <c r="L34" s="39">
        <f>Table6[[#This Row],[Column1]]*1.2</f>
        <v>170910.94593583408</v>
      </c>
      <c r="R34" s="33" t="s">
        <v>5464</v>
      </c>
    </row>
    <row r="35" spans="10:18">
      <c r="J35" s="38">
        <v>33</v>
      </c>
      <c r="K35" s="39">
        <f t="shared" si="1"/>
        <v>170910.94593583408</v>
      </c>
      <c r="L35" s="39">
        <f>Table6[[#This Row],[Column1]]*1.2</f>
        <v>205093.13512300089</v>
      </c>
      <c r="R35" s="33" t="s">
        <v>5465</v>
      </c>
    </row>
    <row r="36" spans="10:18">
      <c r="J36" s="38">
        <v>34</v>
      </c>
      <c r="K36" s="39">
        <f t="shared" ref="K36:K55" si="2">L35</f>
        <v>205093.13512300089</v>
      </c>
      <c r="L36" s="39">
        <f>Table6[[#This Row],[Column1]]*1.2</f>
        <v>246111.76214760105</v>
      </c>
      <c r="R36" s="33" t="s">
        <v>5466</v>
      </c>
    </row>
    <row r="37" spans="10:18">
      <c r="J37" s="38">
        <v>35</v>
      </c>
      <c r="K37" s="39">
        <f t="shared" si="2"/>
        <v>246111.76214760105</v>
      </c>
      <c r="L37" s="39">
        <f>Table6[[#This Row],[Column1]]*1.2</f>
        <v>295334.11457712128</v>
      </c>
      <c r="R37" s="33" t="s">
        <v>5467</v>
      </c>
    </row>
    <row r="38" spans="10:18">
      <c r="J38" s="38">
        <v>36</v>
      </c>
      <c r="K38" s="39">
        <f t="shared" si="2"/>
        <v>295334.11457712128</v>
      </c>
      <c r="L38" s="39">
        <f>Table6[[#This Row],[Column1]]*1.2</f>
        <v>354400.93749254552</v>
      </c>
      <c r="R38" s="33" t="s">
        <v>5468</v>
      </c>
    </row>
    <row r="39" spans="10:18">
      <c r="J39" s="38">
        <v>37</v>
      </c>
      <c r="K39" s="39">
        <f t="shared" si="2"/>
        <v>354400.93749254552</v>
      </c>
      <c r="L39" s="39">
        <f>Table6[[#This Row],[Column1]]*1.2</f>
        <v>425281.12499105459</v>
      </c>
      <c r="R39" s="33" t="s">
        <v>5469</v>
      </c>
    </row>
    <row r="40" spans="10:18">
      <c r="J40" s="38">
        <v>38</v>
      </c>
      <c r="K40" s="39">
        <f t="shared" si="2"/>
        <v>425281.12499105459</v>
      </c>
      <c r="L40" s="39">
        <f>Table6[[#This Row],[Column1]]*1.2</f>
        <v>510337.34998926549</v>
      </c>
      <c r="R40" s="33" t="s">
        <v>5470</v>
      </c>
    </row>
    <row r="41" spans="10:18">
      <c r="J41" s="38">
        <v>39</v>
      </c>
      <c r="K41" s="39">
        <f t="shared" si="2"/>
        <v>510337.34998926549</v>
      </c>
      <c r="L41" s="39">
        <f>Table6[[#This Row],[Column1]]*1.2</f>
        <v>612404.81998711859</v>
      </c>
      <c r="R41" s="33" t="s">
        <v>5471</v>
      </c>
    </row>
    <row r="42" spans="10:18">
      <c r="J42" s="38">
        <v>40</v>
      </c>
      <c r="K42" s="39">
        <f t="shared" si="2"/>
        <v>612404.81998711859</v>
      </c>
      <c r="L42" s="39">
        <f>Table6[[#This Row],[Column1]]*1.2</f>
        <v>734885.78398454224</v>
      </c>
      <c r="R42" s="33" t="s">
        <v>5472</v>
      </c>
    </row>
    <row r="43" spans="10:18">
      <c r="J43" s="38">
        <v>41</v>
      </c>
      <c r="K43" s="39">
        <f t="shared" si="2"/>
        <v>734885.78398454224</v>
      </c>
      <c r="L43" s="39">
        <f>Table6[[#This Row],[Column1]]*1.2</f>
        <v>881862.94078145071</v>
      </c>
      <c r="R43" s="33" t="s">
        <v>5473</v>
      </c>
    </row>
    <row r="44" spans="10:18">
      <c r="J44" s="38">
        <v>42</v>
      </c>
      <c r="K44" s="39">
        <f t="shared" si="2"/>
        <v>881862.94078145071</v>
      </c>
      <c r="L44" s="39">
        <f>Table6[[#This Row],[Column1]]*1.2</f>
        <v>1058235.5289377407</v>
      </c>
      <c r="R44" s="33" t="s">
        <v>5474</v>
      </c>
    </row>
    <row r="45" spans="10:18">
      <c r="J45" s="38">
        <v>43</v>
      </c>
      <c r="K45" s="39">
        <f t="shared" si="2"/>
        <v>1058235.5289377407</v>
      </c>
      <c r="L45" s="39">
        <f>Table6[[#This Row],[Column1]]*1.2</f>
        <v>1269882.6347252887</v>
      </c>
      <c r="R45" s="33" t="s">
        <v>5475</v>
      </c>
    </row>
    <row r="46" spans="10:18">
      <c r="J46" s="38">
        <v>44</v>
      </c>
      <c r="K46" s="39">
        <f t="shared" si="2"/>
        <v>1269882.6347252887</v>
      </c>
      <c r="L46" s="39">
        <f>Table6[[#This Row],[Column1]]*1.2</f>
        <v>1523859.1616703465</v>
      </c>
      <c r="R46" s="33" t="s">
        <v>5476</v>
      </c>
    </row>
    <row r="47" spans="10:18">
      <c r="J47" s="38">
        <v>45</v>
      </c>
      <c r="K47" s="39">
        <f t="shared" si="2"/>
        <v>1523859.1616703465</v>
      </c>
      <c r="L47" s="39">
        <f>Table6[[#This Row],[Column1]]*1.2</f>
        <v>1828630.9940044158</v>
      </c>
      <c r="R47" s="33" t="s">
        <v>5477</v>
      </c>
    </row>
    <row r="48" spans="10:18">
      <c r="J48" s="38">
        <v>46</v>
      </c>
      <c r="K48" s="39">
        <f t="shared" si="2"/>
        <v>1828630.9940044158</v>
      </c>
      <c r="L48" s="39">
        <f>Table6[[#This Row],[Column1]]*1.2</f>
        <v>2194357.1928052991</v>
      </c>
      <c r="R48" s="33" t="s">
        <v>5478</v>
      </c>
    </row>
    <row r="49" spans="10:18">
      <c r="J49" s="38">
        <v>47</v>
      </c>
      <c r="K49" s="39">
        <f t="shared" si="2"/>
        <v>2194357.1928052991</v>
      </c>
      <c r="L49" s="39">
        <f>Table6[[#This Row],[Column1]]*1.2</f>
        <v>2633228.6313663586</v>
      </c>
      <c r="R49" s="33" t="s">
        <v>5479</v>
      </c>
    </row>
    <row r="50" spans="10:18">
      <c r="J50" s="38">
        <v>48</v>
      </c>
      <c r="K50" s="39">
        <f t="shared" si="2"/>
        <v>2633228.6313663586</v>
      </c>
      <c r="L50" s="39">
        <f>Table6[[#This Row],[Column1]]*1.2</f>
        <v>3159874.3576396303</v>
      </c>
      <c r="R50" s="33" t="s">
        <v>5480</v>
      </c>
    </row>
    <row r="51" spans="10:18">
      <c r="J51" s="38">
        <v>49</v>
      </c>
      <c r="K51" s="39">
        <f t="shared" si="2"/>
        <v>3159874.3576396303</v>
      </c>
      <c r="L51" s="39">
        <f>Table6[[#This Row],[Column1]]*1.2</f>
        <v>3791849.2291675564</v>
      </c>
      <c r="R51" s="33" t="s">
        <v>5481</v>
      </c>
    </row>
    <row r="52" spans="10:18">
      <c r="J52" s="38">
        <v>50</v>
      </c>
      <c r="K52" s="39">
        <f t="shared" si="2"/>
        <v>3791849.2291675564</v>
      </c>
      <c r="L52" s="39">
        <f>Table6[[#This Row],[Column1]]*1.2</f>
        <v>4550219.0750010675</v>
      </c>
      <c r="R52" s="33" t="s">
        <v>5482</v>
      </c>
    </row>
    <row r="53" spans="10:18">
      <c r="J53" s="38">
        <v>51</v>
      </c>
      <c r="K53" s="39">
        <f t="shared" si="2"/>
        <v>4550219.0750010675</v>
      </c>
      <c r="L53" s="39">
        <f>Table6[[#This Row],[Column1]]*1.2</f>
        <v>5460262.8900012812</v>
      </c>
      <c r="R53" s="33" t="s">
        <v>5483</v>
      </c>
    </row>
    <row r="54" spans="10:18">
      <c r="J54" s="38">
        <v>52</v>
      </c>
      <c r="K54" s="39">
        <f t="shared" si="2"/>
        <v>5460262.8900012812</v>
      </c>
      <c r="L54" s="39">
        <f>Table6[[#This Row],[Column1]]*1.2</f>
        <v>6552315.468001537</v>
      </c>
      <c r="R54" s="33" t="s">
        <v>5484</v>
      </c>
    </row>
    <row r="55" spans="10:18">
      <c r="J55" s="38">
        <v>53</v>
      </c>
      <c r="K55" s="39">
        <f t="shared" si="2"/>
        <v>6552315.468001537</v>
      </c>
      <c r="L55" s="39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52" priority="19" operator="greaterThan">
      <formula>$C$2</formula>
    </cfRule>
    <cfRule type="cellIs" dxfId="51" priority="32" operator="lessThan">
      <formula>$B$2</formula>
    </cfRule>
  </conditionalFormatting>
  <conditionalFormatting sqref="G3">
    <cfRule type="cellIs" dxfId="50" priority="18" operator="greaterThan">
      <formula>$C$3</formula>
    </cfRule>
    <cfRule type="cellIs" dxfId="49" priority="31" operator="lessThan">
      <formula>$B$3</formula>
    </cfRule>
  </conditionalFormatting>
  <conditionalFormatting sqref="G4">
    <cfRule type="cellIs" dxfId="48" priority="17" operator="greaterThan">
      <formula>$C$4</formula>
    </cfRule>
    <cfRule type="cellIs" dxfId="47" priority="30" operator="lessThan">
      <formula>$B$4</formula>
    </cfRule>
  </conditionalFormatting>
  <conditionalFormatting sqref="G5">
    <cfRule type="cellIs" dxfId="46" priority="16" operator="greaterThan">
      <formula>$C$5</formula>
    </cfRule>
    <cfRule type="cellIs" dxfId="45" priority="29" operator="lessThan">
      <formula>$B$5</formula>
    </cfRule>
  </conditionalFormatting>
  <conditionalFormatting sqref="G6">
    <cfRule type="cellIs" dxfId="44" priority="15" operator="greaterThan">
      <formula>$C$6</formula>
    </cfRule>
    <cfRule type="cellIs" dxfId="43" priority="28" operator="lessThan">
      <formula>$B$6</formula>
    </cfRule>
  </conditionalFormatting>
  <conditionalFormatting sqref="G7">
    <cfRule type="cellIs" dxfId="42" priority="14" operator="greaterThan">
      <formula>$C$7</formula>
    </cfRule>
    <cfRule type="cellIs" dxfId="41" priority="27" operator="lessThan">
      <formula>$B$7</formula>
    </cfRule>
  </conditionalFormatting>
  <conditionalFormatting sqref="G8">
    <cfRule type="cellIs" dxfId="40" priority="13" operator="greaterThan">
      <formula>$C$8</formula>
    </cfRule>
    <cfRule type="cellIs" dxfId="39" priority="26" operator="lessThan">
      <formula>$B$8</formula>
    </cfRule>
  </conditionalFormatting>
  <conditionalFormatting sqref="G9">
    <cfRule type="cellIs" dxfId="38" priority="12" operator="greaterThan">
      <formula>$C$9</formula>
    </cfRule>
    <cfRule type="cellIs" dxfId="37" priority="25" operator="lessThan">
      <formula>$B$9</formula>
    </cfRule>
  </conditionalFormatting>
  <conditionalFormatting sqref="G10">
    <cfRule type="cellIs" dxfId="36" priority="11" operator="greaterThan">
      <formula>$C$10</formula>
    </cfRule>
    <cfRule type="cellIs" dxfId="35" priority="24" operator="lessThan">
      <formula>$B$10</formula>
    </cfRule>
  </conditionalFormatting>
  <conditionalFormatting sqref="G11">
    <cfRule type="cellIs" dxfId="34" priority="10" operator="greaterThan">
      <formula>$C$11</formula>
    </cfRule>
    <cfRule type="cellIs" dxfId="33" priority="23" operator="lessThan">
      <formula>$B$11</formula>
    </cfRule>
  </conditionalFormatting>
  <conditionalFormatting sqref="G12">
    <cfRule type="cellIs" dxfId="32" priority="9" operator="greaterThan">
      <formula>$C$12</formula>
    </cfRule>
    <cfRule type="cellIs" dxfId="31" priority="22" operator="lessThan">
      <formula>$B$12</formula>
    </cfRule>
  </conditionalFormatting>
  <conditionalFormatting sqref="G13">
    <cfRule type="cellIs" dxfId="30" priority="8" operator="greaterThan">
      <formula>$C$13</formula>
    </cfRule>
    <cfRule type="cellIs" dxfId="29" priority="21" operator="lessThan">
      <formula>$B$13</formula>
    </cfRule>
  </conditionalFormatting>
  <conditionalFormatting sqref="G16">
    <cfRule type="cellIs" dxfId="28" priority="4" operator="lessThan">
      <formula>$B$16</formula>
    </cfRule>
    <cfRule type="cellIs" dxfId="27" priority="5" operator="greaterThan">
      <formula>$C$16</formula>
    </cfRule>
    <cfRule type="cellIs" dxfId="26" priority="20" operator="lessThan">
      <formula>$B$16</formula>
    </cfRule>
  </conditionalFormatting>
  <conditionalFormatting sqref="G14">
    <cfRule type="cellIs" dxfId="25" priority="7" operator="greaterThan">
      <formula>$C$14</formula>
    </cfRule>
  </conditionalFormatting>
  <conditionalFormatting sqref="G15">
    <cfRule type="cellIs" dxfId="24" priority="6" operator="greaterThan">
      <formula>$C$15</formula>
    </cfRule>
  </conditionalFormatting>
  <conditionalFormatting sqref="G24">
    <cfRule type="cellIs" dxfId="23" priority="2" operator="lessThan">
      <formula>$B$24</formula>
    </cfRule>
    <cfRule type="cellIs" dxfId="22" priority="3" operator="greaterThan">
      <formula>$C$24</formula>
    </cfRule>
  </conditionalFormatting>
  <conditionalFormatting sqref="G23">
    <cfRule type="cellIs" dxfId="21" priority="1" operator="lessThan">
      <formula>$B$23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15" sqref="G15"/>
    </sheetView>
  </sheetViews>
  <sheetFormatPr defaultRowHeight="1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>
      <c r="K1" s="28" t="s">
        <v>4898</v>
      </c>
      <c r="L1" s="28">
        <v>1.2114499999999999</v>
      </c>
      <c r="M1" s="28"/>
      <c r="N1" s="28"/>
      <c r="O1" s="28"/>
      <c r="P1" s="28"/>
      <c r="Q1" s="28"/>
      <c r="R1" s="28"/>
    </row>
    <row r="2" spans="1:18">
      <c r="B2" s="28" t="s">
        <v>4896</v>
      </c>
      <c r="C2" s="28" t="s">
        <v>4897</v>
      </c>
      <c r="J2" s="28"/>
      <c r="K2" s="28" t="s">
        <v>4899</v>
      </c>
      <c r="L2" s="28">
        <v>0.82552528000000003</v>
      </c>
      <c r="M2" s="28"/>
      <c r="N2" s="28"/>
      <c r="O2" s="28"/>
      <c r="P2" s="28"/>
      <c r="Q2" s="28"/>
      <c r="R2" s="28"/>
    </row>
    <row r="3" spans="1:18">
      <c r="A3" s="99" t="s">
        <v>5652</v>
      </c>
      <c r="B3" s="28">
        <f>C3*L1</f>
        <v>3469.4968025456178</v>
      </c>
      <c r="C3" s="28">
        <f>Table4[[#Totals],[Column1]]</f>
        <v>2863.9207582199992</v>
      </c>
      <c r="J3" s="28"/>
      <c r="K3" s="28"/>
      <c r="L3" s="28" t="s">
        <v>4907</v>
      </c>
      <c r="M3" s="28"/>
      <c r="N3" s="28"/>
      <c r="O3" s="28"/>
      <c r="P3" s="28"/>
      <c r="Q3" s="28"/>
      <c r="R3" s="28"/>
    </row>
    <row r="4" spans="1:18">
      <c r="A4" s="27" t="s">
        <v>4900</v>
      </c>
      <c r="B4" s="28">
        <f>Table3[[#Totals],[Commisson]]</f>
        <v>164.10725999999997</v>
      </c>
      <c r="C4" s="28">
        <f>B4*L2</f>
        <v>135.47469176153277</v>
      </c>
      <c r="J4" s="28"/>
      <c r="K4" s="28"/>
      <c r="L4" s="28"/>
      <c r="M4" s="28"/>
      <c r="N4" s="28"/>
      <c r="O4" s="28"/>
      <c r="P4" s="28"/>
      <c r="Q4" s="28"/>
      <c r="R4" s="28"/>
    </row>
    <row r="5" spans="1:18">
      <c r="A5" s="29" t="s">
        <v>4901</v>
      </c>
      <c r="B5" s="28">
        <f>SUM(B2:B4)</f>
        <v>3633.6040625456176</v>
      </c>
      <c r="C5" s="28">
        <f>B5*L2</f>
        <v>2999.6320111421087</v>
      </c>
      <c r="N5" s="30">
        <v>15.599</v>
      </c>
    </row>
    <row r="6" spans="1:18">
      <c r="A6" s="29" t="s">
        <v>4908</v>
      </c>
      <c r="B6" s="28">
        <f>+B3-B4</f>
        <v>3305.389542545618</v>
      </c>
      <c r="C6" s="28">
        <f>B6*L2</f>
        <v>2728.6826276190432</v>
      </c>
    </row>
    <row r="7" spans="1:18">
      <c r="A7" s="27" t="s">
        <v>4902</v>
      </c>
      <c r="B7" s="28">
        <f>C7*L1</f>
        <v>2817.8986142645858</v>
      </c>
      <c r="C7" s="28">
        <f>Portfolio!I30</f>
        <v>2326.0544093974872</v>
      </c>
    </row>
    <row r="8" spans="1:18">
      <c r="A8" s="27" t="s">
        <v>4903</v>
      </c>
      <c r="B8" s="28">
        <f>B7-B5</f>
        <v>-815.70544828103175</v>
      </c>
      <c r="C8" s="28">
        <f>C7-C5</f>
        <v>-673.57760174462146</v>
      </c>
    </row>
    <row r="9" spans="1:18">
      <c r="B9" s="28"/>
      <c r="H9" s="27">
        <v>297</v>
      </c>
    </row>
    <row r="10" spans="1:18">
      <c r="A10" s="27" t="s">
        <v>4904</v>
      </c>
      <c r="B10" s="28">
        <f>Table3[[#Totals],[Deposited]]</f>
        <v>4234.0300000000007</v>
      </c>
      <c r="C10" s="28">
        <f>B10*L2</f>
        <v>3495.2988012784008</v>
      </c>
      <c r="H10" s="27" t="s">
        <v>4890</v>
      </c>
      <c r="J10" s="27">
        <v>280</v>
      </c>
    </row>
    <row r="11" spans="1:18">
      <c r="A11" s="27" t="s">
        <v>4905</v>
      </c>
      <c r="B11" s="28">
        <f>IF(B10-B5&gt;0,(B10-B5)*-1,0)</f>
        <v>-600.42593745438307</v>
      </c>
      <c r="C11" s="28">
        <f>B11*L2</f>
        <v>-495.66679013629209</v>
      </c>
      <c r="D11" s="28">
        <f>C11+I17</f>
        <v>-122.42679013629208</v>
      </c>
      <c r="E11" s="28"/>
      <c r="F11" s="27" t="s">
        <v>4892</v>
      </c>
      <c r="G11" s="27">
        <v>0.1</v>
      </c>
      <c r="H11" s="27">
        <v>120</v>
      </c>
      <c r="I11" s="28">
        <f>G11*H9</f>
        <v>29.700000000000003</v>
      </c>
      <c r="J11" s="27">
        <f>G11*$J$10</f>
        <v>28</v>
      </c>
    </row>
    <row r="12" spans="1:18">
      <c r="A12" s="27" t="s">
        <v>4906</v>
      </c>
      <c r="B12" s="28">
        <f>B8+B11</f>
        <v>-1416.1313857354148</v>
      </c>
      <c r="C12" s="28">
        <f>C8+C11</f>
        <v>-1169.2443918809136</v>
      </c>
      <c r="I12" s="28"/>
    </row>
    <row r="13" spans="1:18">
      <c r="B13" s="98">
        <f>B12/B5</f>
        <v>-0.38973189190660096</v>
      </c>
      <c r="C13" s="28"/>
      <c r="F13" s="27" t="s">
        <v>4893</v>
      </c>
      <c r="G13" s="27">
        <v>0.27</v>
      </c>
      <c r="H13" s="27">
        <v>6000</v>
      </c>
      <c r="I13" s="28">
        <f>G13*297</f>
        <v>80.190000000000012</v>
      </c>
      <c r="J13" s="27">
        <f t="shared" ref="J13:J15" si="0">G13*$J$10</f>
        <v>75.600000000000009</v>
      </c>
    </row>
    <row r="14" spans="1:18">
      <c r="F14" s="27" t="s">
        <v>4895</v>
      </c>
      <c r="G14" s="27" t="s">
        <v>4984</v>
      </c>
      <c r="I14" s="28">
        <v>100</v>
      </c>
      <c r="J14" s="27">
        <v>100</v>
      </c>
    </row>
    <row r="15" spans="1:18">
      <c r="F15" s="27" t="s">
        <v>4894</v>
      </c>
      <c r="G15" s="27">
        <v>0.55000000000000004</v>
      </c>
      <c r="I15" s="28">
        <f>G15*297</f>
        <v>163.35000000000002</v>
      </c>
      <c r="J15" s="27">
        <f t="shared" si="0"/>
        <v>154</v>
      </c>
    </row>
    <row r="16" spans="1:18">
      <c r="I16" s="28"/>
    </row>
    <row r="17" spans="9:9">
      <c r="I17" s="31">
        <f>SUM(I11:I16)</f>
        <v>373.24</v>
      </c>
    </row>
    <row r="30" spans="9:9" ht="0.75" customHeight="1"/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3D92CD-2F90-4325-8B29-9578E47F18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Ticker</vt:lpstr>
      <vt:lpstr>IE+Quest</vt:lpstr>
      <vt:lpstr>Deposited</vt:lpstr>
      <vt:lpstr>Portfolio</vt:lpstr>
      <vt:lpstr>Strat</vt:lpstr>
      <vt:lpstr>Flippers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Hassan Latif</cp:lastModifiedBy>
  <dcterms:created xsi:type="dcterms:W3CDTF">2017-09-12T01:31:09Z</dcterms:created>
  <dcterms:modified xsi:type="dcterms:W3CDTF">2017-10-07T05:42:55Z</dcterms:modified>
</cp:coreProperties>
</file>